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оги" sheetId="1" state="visible" r:id="rId1"/>
    <sheet name="Параметры" sheetId="2" state="visible" r:id="rId2"/>
    <sheet name="Как заполня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 ##0"/>
    <numFmt numFmtId="165" formatCode="# ##0.0"/>
    <numFmt numFmtId="166" formatCode="+0%;-0%;0%"/>
    <numFmt numFmtId="167" formatCode="+0.0%;-0.0%;0%"/>
    <numFmt numFmtId="168" formatCode="+# ##0;-# ##0;0"/>
    <numFmt numFmtId="169" formatCode="dd.mm.yyyy"/>
  </numFmts>
  <fonts count="5">
    <font>
      <name val="Calibri"/>
      <family val="2"/>
      <color theme="1"/>
      <sz val="11"/>
      <scheme val="minor"/>
    </font>
    <font>
      <b val="1"/>
    </font>
    <font>
      <i val="1"/>
      <color rgb="00595959"/>
      <sz val="9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1" fontId="1" fillId="5" borderId="1" pivotButton="0" quotePrefix="0" xfId="0"/>
    <xf numFmtId="164" fontId="1" fillId="5" borderId="1" pivotButton="0" quotePrefix="0" xfId="0"/>
    <xf numFmtId="165" fontId="0" fillId="2" borderId="1" pivotButton="0" quotePrefix="0" xfId="0"/>
    <xf numFmtId="9" fontId="1" fillId="5" borderId="1" pivotButton="0" quotePrefix="0" xfId="0"/>
    <xf numFmtId="166" fontId="1" fillId="5" borderId="1" pivotButton="0" quotePrefix="0" xfId="0"/>
    <xf numFmtId="164" fontId="0" fillId="2" borderId="1" pivotButton="0" quotePrefix="0" xfId="0"/>
    <xf numFmtId="49" fontId="1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9" fontId="0" fillId="2" borderId="1" pivotButton="0" quotePrefix="0" xfId="0"/>
    <xf numFmtId="164" fontId="0" fillId="6" borderId="1" pivotButton="0" quotePrefix="0" xfId="0"/>
    <xf numFmtId="9" fontId="0" fillId="6" borderId="1" pivotButton="0" quotePrefix="0" xfId="0"/>
    <xf numFmtId="167" fontId="0" fillId="6" borderId="1" pivotButton="0" quotePrefix="0" xfId="0"/>
    <xf numFmtId="168" fontId="0" fillId="6" borderId="1" pivotButton="0" quotePrefix="0" xfId="0"/>
    <xf numFmtId="166" fontId="0" fillId="2" borderId="1" pivotButton="0" quotePrefix="0" xfId="0"/>
    <xf numFmtId="0" fontId="0" fillId="6" borderId="1" pivotButton="0" quotePrefix="0" xfId="0"/>
    <xf numFmtId="9" fontId="0" fillId="2" borderId="1" pivotButton="0" quotePrefix="0" xfId="0"/>
    <xf numFmtId="2" fontId="0" fillId="2" borderId="1" pivotButton="0" quotePrefix="0" xfId="0"/>
    <xf numFmtId="0" fontId="1" fillId="3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xSplit="3" ySplit="20" topLeftCell="D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34" customWidth="1" min="4" max="4"/>
    <col width="10" customWidth="1" min="5" max="5"/>
    <col width="9" customWidth="1" min="6" max="6"/>
    <col width="26" customWidth="1" min="7" max="7"/>
    <col width="9" customWidth="1" min="8" max="8"/>
    <col width="14" customWidth="1" min="9" max="9"/>
    <col width="9" customWidth="1" min="10" max="10"/>
    <col width="9" customWidth="1" min="11" max="11"/>
    <col width="12" customWidth="1" min="12" max="12"/>
    <col width="20" customWidth="1" min="13" max="13"/>
    <col width="30" customWidth="1" min="14" max="14"/>
    <col width="15" customWidth="1" min="15" max="15"/>
    <col width="11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12" customWidth="1" min="22" max="22"/>
    <col width="30" customWidth="1" min="23" max="23"/>
    <col width="13" customWidth="1" min="24" max="24"/>
    <col width="11" customWidth="1" min="25" max="25"/>
    <col width="14" customWidth="1" min="26" max="26"/>
    <col width="8" customWidth="1" min="27" max="27"/>
    <col width="7" customWidth="1" min="28" max="28"/>
    <col hidden="1" outlineLevel="1" width="9" customWidth="1" min="29" max="30"/>
    <col width="6" customWidth="1" min="30" max="30"/>
  </cols>
  <sheetData>
    <row r="1">
      <c r="A1" s="1" t="inlineStr">
        <is>
          <t>АНАЛИЗ АНАЛОГОВ (КОНКУРЕНТЫ) — объект:</t>
        </is>
      </c>
    </row>
    <row r="2">
      <c r="A2" s="2" t="inlineStr">
        <is>
          <t>Жёлтое заполняет ассистент, серое считается само. Каждое объявление — строка + скриншот в папку «Аналитика» (объявления снимают). Цена аренды — ₽ в месяц за весь объект (ЦИАН для коммерции показывает ₽/м² в ГОД — пересчитать).</t>
        </is>
      </c>
    </row>
    <row r="4">
      <c r="A4" s="3" t="inlineStr">
        <is>
          <t>НАШ ОБЪЕКТ</t>
        </is>
      </c>
      <c r="D4" s="3" t="inlineStr">
        <is>
          <t>ИТОГ</t>
        </is>
      </c>
    </row>
    <row r="5">
      <c r="A5" s="4" t="inlineStr">
        <is>
          <t>Объект</t>
        </is>
      </c>
      <c r="B5" s="5" t="inlineStr"/>
      <c r="D5" s="6" t="inlineStr">
        <is>
          <t>Аналогов учтено</t>
        </is>
      </c>
      <c r="E5" s="7">
        <f>SUM($AD$21:$AD$60)</f>
        <v/>
      </c>
    </row>
    <row r="6">
      <c r="A6" s="4" t="inlineStr">
        <is>
          <t>Адрес</t>
        </is>
      </c>
      <c r="B6" s="5" t="inlineStr"/>
      <c r="D6" s="6" t="inlineStr">
        <is>
          <t>Средневзвешенная цена, ₽ за м²</t>
        </is>
      </c>
      <c r="E6" s="8">
        <f>IF(E5=0,"",SUMPRODUCT($AC$21:$AC$60,$AB$21:$AB$60))</f>
        <v/>
      </c>
    </row>
    <row r="7">
      <c r="A7" s="4" t="inlineStr">
        <is>
          <t>Сделка</t>
        </is>
      </c>
      <c r="B7" s="5" t="inlineStr">
        <is>
          <t>Продажа</t>
        </is>
      </c>
      <c r="D7" s="6" t="inlineStr">
        <is>
          <t>Рыночная цена объекта, ₽</t>
        </is>
      </c>
      <c r="E7" s="8">
        <f>IFERROR(E6*$B$9,"")</f>
        <v/>
      </c>
    </row>
    <row r="8">
      <c r="A8" s="4" t="inlineStr">
        <is>
          <t>Тип / назначение</t>
        </is>
      </c>
      <c r="B8" s="5" t="inlineStr"/>
      <c r="D8" s="6" t="inlineStr">
        <is>
          <t>Диапазон: от, ₽</t>
        </is>
      </c>
      <c r="E8" s="8">
        <f>IF(E5=0,"",_xlfn.MINIFS($AC$21:$AC$60,$AD$21:$AD$60,1)*$B$9)</f>
        <v/>
      </c>
    </row>
    <row r="9">
      <c r="A9" s="4" t="inlineStr">
        <is>
          <t>Площадь, м²</t>
        </is>
      </c>
      <c r="B9" s="9" t="n"/>
      <c r="D9" s="6" t="inlineStr">
        <is>
          <t>Диапазон: до, ₽</t>
        </is>
      </c>
      <c r="E9" s="8">
        <f>IF(E5=0,"",_xlfn.MAXIFS($AC$21:$AC$60,$AD$21:$AD$60,1)*$B$9)</f>
        <v/>
      </c>
    </row>
    <row r="10">
      <c r="A10" s="4" t="inlineStr">
        <is>
          <t>Ремонт</t>
        </is>
      </c>
      <c r="B10" s="5" t="inlineStr">
        <is>
          <t>С ремонтом (без мебели)</t>
        </is>
      </c>
      <c r="D10" s="6" t="inlineStr">
        <is>
          <t>Коэффициент вариации (≤ 20 % — выборка однородная)</t>
        </is>
      </c>
      <c r="E10" s="10">
        <f>IF(E5&lt;2,"",SQRT(SUMPRODUCT($AD$21:$AD$60,($AC$21:$AC$60-SUM($AC$21:$AC$60)/E5)^2)/(E5-1))/(SUM($AC$21:$AC$60)/E5))</f>
        <v/>
      </c>
    </row>
    <row r="11">
      <c r="A11" s="4" t="inlineStr">
        <is>
          <t>Этаж / вход</t>
        </is>
      </c>
      <c r="B11" s="5" t="inlineStr"/>
      <c r="D11" s="6" t="inlineStr">
        <is>
          <t>Цена собственника к рынку</t>
        </is>
      </c>
      <c r="E11" s="11">
        <f>IFERROR($B$12/E7-1,"")</f>
        <v/>
      </c>
    </row>
    <row r="12">
      <c r="A12" s="4" t="inlineStr">
        <is>
          <t>Цена собственника, ₽</t>
        </is>
      </c>
      <c r="B12" s="12" t="n"/>
      <c r="D12" s="6" t="inlineStr">
        <is>
          <t>Средний срок экспозиции учтённых, дней</t>
        </is>
      </c>
      <c r="E12" s="7">
        <f>IFERROR(SUMPRODUCT($AD$21:$AD$60,$F$21:$F$60)/SUMPRODUCT($AD$21:$AD$60,--($F$21:$F$60&lt;&gt;"")),"")</f>
        <v/>
      </c>
    </row>
    <row r="13">
      <c r="A13" s="4" t="inlineStr">
        <is>
          <t>Дата анализа</t>
        </is>
      </c>
      <c r="B13" s="5" t="inlineStr"/>
      <c r="D13" s="6" t="inlineStr">
        <is>
          <t>Вывод</t>
        </is>
      </c>
      <c r="E13" s="13">
        <f>IF(E5&lt;3,"Мало аналогов — расширьте поиск (уровень 2–3)",IF(E10&gt;0.2,"Выборка разнородная — пересмотрите аналоги и корректировки",IF(E11&gt;0.1,"Цена собственника выше рынка более чем на 10 %",IF(E11&lt;-0.1,"Цена собственника ниже рынка более чем на 10 %","Цена собственника в рынке"))))</f>
        <v/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>
      <c r="A14" s="4" t="inlineStr">
        <is>
          <t>Класс объекта</t>
        </is>
      </c>
      <c r="B14" s="5" t="inlineStr">
        <is>
          <t>Комфорт</t>
        </is>
      </c>
    </row>
    <row r="19">
      <c r="A19" s="3" t="inlineStr">
        <is>
          <t>АНАЛОГИ</t>
        </is>
      </c>
      <c r="P19" s="3" t="inlineStr">
        <is>
          <t>КОРРЕКТИРОВКИ (порядок: торг → площадь → ремонт → местоположение, этаж, прочее)</t>
        </is>
      </c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 ht="60" customHeight="1">
      <c r="A20" s="17" t="inlineStr">
        <is>
          <t>№</t>
        </is>
      </c>
      <c r="B20" s="17" t="inlineStr">
        <is>
          <t>Уровень (1/2/3)</t>
        </is>
      </c>
      <c r="C20" s="17" t="inlineStr">
        <is>
          <t>Ссылка на объявление</t>
        </is>
      </c>
      <c r="D20" s="17" t="inlineStr">
        <is>
          <t>Дата сбора</t>
        </is>
      </c>
      <c r="E20" s="17" t="inlineStr">
        <is>
          <t>Статус</t>
        </is>
      </c>
      <c r="F20" s="17" t="inlineStr">
        <is>
          <t>Дней в экспозиции</t>
        </is>
      </c>
      <c r="G20" s="17" t="inlineStr">
        <is>
          <t>Адрес / ЖК / посёлок</t>
        </is>
      </c>
      <c r="H20" s="17" t="inlineStr">
        <is>
          <t>Расстояние до нашего, км</t>
        </is>
      </c>
      <c r="I20" s="17" t="inlineStr">
        <is>
          <t>Тип / назначение</t>
        </is>
      </c>
      <c r="J20" s="17" t="inlineStr">
        <is>
          <t>Площадь, м²</t>
        </is>
      </c>
      <c r="K20" s="17" t="inlineStr">
        <is>
          <t>Участок, сот. (дома)</t>
        </is>
      </c>
      <c r="L20" s="17" t="inlineStr">
        <is>
          <t>Этаж / вход</t>
        </is>
      </c>
      <c r="M20" s="17" t="inlineStr">
        <is>
          <t>Ремонт</t>
        </is>
      </c>
      <c r="N20" s="17" t="inlineStr">
        <is>
          <t>Особенности: чем лучше (+) / хуже (−) нашего</t>
        </is>
      </c>
      <c r="O20" s="17" t="inlineStr">
        <is>
          <t>Цена предложения, ₽ (аренда — ₽/мес)</t>
        </is>
      </c>
      <c r="P20" s="17" t="inlineStr">
        <is>
          <t>Цена за м², ₽</t>
        </is>
      </c>
      <c r="Q20" s="17" t="inlineStr">
        <is>
          <t>Торг, %</t>
        </is>
      </c>
      <c r="R20" s="17" t="inlineStr">
        <is>
          <t>Площадь, %</t>
        </is>
      </c>
      <c r="S20" s="17" t="inlineStr">
        <is>
          <t>Ремонт, ₽ за м²</t>
        </is>
      </c>
      <c r="T20" s="17" t="inlineStr">
        <is>
          <t>Местоположение, %</t>
        </is>
      </c>
      <c r="U20" s="17" t="inlineStr">
        <is>
          <t>Этаж / вход / тип, %</t>
        </is>
      </c>
      <c r="V20" s="17" t="inlineStr">
        <is>
          <t>Прочее (парковка, вид, участок, мебель), %</t>
        </is>
      </c>
      <c r="W20" s="17" t="inlineStr">
        <is>
          <t>Обоснование ручных корректировок</t>
        </is>
      </c>
      <c r="X20" s="17" t="inlineStr">
        <is>
          <t>Скорректированная цена за м², ₽</t>
        </is>
      </c>
      <c r="Y20" s="17" t="inlineStr">
        <is>
          <t>Общая корректировка без ремонта, %</t>
        </is>
      </c>
      <c r="Z20" s="17" t="inlineStr">
        <is>
          <t>Учитываем?</t>
        </is>
      </c>
      <c r="AA20" s="17" t="inlineStr">
        <is>
          <t>Вес (сырой)</t>
        </is>
      </c>
      <c r="AB20" s="17" t="inlineStr">
        <is>
          <t>Вес</t>
        </is>
      </c>
      <c r="AC20" s="17" t="inlineStr">
        <is>
          <t>служ.: цена учтённого</t>
        </is>
      </c>
      <c r="AD20" s="17" t="inlineStr">
        <is>
          <t>служ.: учтён</t>
        </is>
      </c>
    </row>
    <row r="21">
      <c r="A21" s="18" t="n">
        <v>1</v>
      </c>
      <c r="B21" s="5" t="n"/>
      <c r="C21" s="5" t="n"/>
      <c r="D21" s="19" t="n"/>
      <c r="E21" s="5" t="n"/>
      <c r="F21" s="5" t="n"/>
      <c r="G21" s="5" t="n"/>
      <c r="H21" s="5" t="n"/>
      <c r="I21" s="5" t="n"/>
      <c r="J21" s="9" t="n"/>
      <c r="K21" s="5" t="n"/>
      <c r="L21" s="5" t="n"/>
      <c r="M21" s="5" t="n"/>
      <c r="N21" s="5" t="n"/>
      <c r="O21" s="12" t="n"/>
      <c r="P21" s="20">
        <f>IF($O21="","",O21/J21)</f>
        <v/>
      </c>
      <c r="Q21" s="21">
        <f>IF($O21="","",IF(E21="Сделка",0,-Параметры!$B$3))</f>
        <v/>
      </c>
      <c r="R21" s="22">
        <f>IF($O21="","",IF(ABS(J21/$B$9-1)&lt;=Параметры!$B$5,0,($B$9/J21)^Параметры!$B$4-1))</f>
        <v/>
      </c>
      <c r="S21" s="23">
        <f>IF($O21="","",IFERROR(VLOOKUP($B$10,Параметры!$A$10:$D$12,IF($B$7="Аренда",4,IF($B$14="Премиум",3,2)),FALSE)-VLOOKUP(M21,Параметры!$A$10:$D$12,IF($B$7="Аренда",4,IF($B$14="Премиум",3,2)),FALSE),0))</f>
        <v/>
      </c>
      <c r="T21" s="24" t="n"/>
      <c r="U21" s="24" t="n"/>
      <c r="V21" s="24" t="n"/>
      <c r="W21" s="5" t="n"/>
      <c r="X21" s="20">
        <f>IF($O21="","",(P21*(1+Q21)*(1+R21)+S21)*(1+N(T21))*(1+N(U21))*(1+N(V21)))</f>
        <v/>
      </c>
      <c r="Y21" s="21">
        <f>IF($O21="","",ABS(Q21)+ABS(R21)+ABS(N(T21))+ABS(N(U21))+ABS(N(V21)))</f>
        <v/>
      </c>
      <c r="Z21" s="25">
        <f>IF($O21="","",IF(Y21&gt;Параметры!$B$6,"Нет — корректировки &gt; предела","Да"))</f>
        <v/>
      </c>
      <c r="AA21" s="25">
        <f>IF($O21="","",IF(Z21="Да",IFERROR(VLOOKUP(B21,Параметры!$A$17:$B$19,2,FALSE),0.4)/(Y21+ABS(S21/(P21*(1+Q21)))+0.1),0))</f>
        <v/>
      </c>
      <c r="AB21" s="21">
        <f>IFERROR(AA21/SUM($AA$21:$AA$60),0)</f>
        <v/>
      </c>
      <c r="AC21" s="25">
        <f>IF(Z21="Да",X21,0)</f>
        <v/>
      </c>
      <c r="AD21" s="25">
        <f>IF(Z21="Да",1,0)</f>
        <v/>
      </c>
    </row>
    <row r="22">
      <c r="A22" s="18" t="n">
        <v>2</v>
      </c>
      <c r="B22" s="5" t="n"/>
      <c r="C22" s="5" t="n"/>
      <c r="D22" s="19" t="n"/>
      <c r="E22" s="5" t="n"/>
      <c r="F22" s="5" t="n"/>
      <c r="G22" s="5" t="n"/>
      <c r="H22" s="5" t="n"/>
      <c r="I22" s="5" t="n"/>
      <c r="J22" s="9" t="n"/>
      <c r="K22" s="5" t="n"/>
      <c r="L22" s="5" t="n"/>
      <c r="M22" s="5" t="n"/>
      <c r="N22" s="5" t="n"/>
      <c r="O22" s="12" t="n"/>
      <c r="P22" s="20">
        <f>IF($O22="","",O22/J22)</f>
        <v/>
      </c>
      <c r="Q22" s="21">
        <f>IF($O22="","",IF(E22="Сделка",0,-Параметры!$B$3))</f>
        <v/>
      </c>
      <c r="R22" s="22">
        <f>IF($O22="","",IF(ABS(J22/$B$9-1)&lt;=Параметры!$B$5,0,($B$9/J22)^Параметры!$B$4-1))</f>
        <v/>
      </c>
      <c r="S22" s="23">
        <f>IF($O22="","",IFERROR(VLOOKUP($B$10,Параметры!$A$10:$D$12,IF($B$7="Аренда",4,IF($B$14="Премиум",3,2)),FALSE)-VLOOKUP(M22,Параметры!$A$10:$D$12,IF($B$7="Аренда",4,IF($B$14="Премиум",3,2)),FALSE),0))</f>
        <v/>
      </c>
      <c r="T22" s="24" t="n"/>
      <c r="U22" s="24" t="n"/>
      <c r="V22" s="24" t="n"/>
      <c r="W22" s="5" t="n"/>
      <c r="X22" s="20">
        <f>IF($O22="","",(P22*(1+Q22)*(1+R22)+S22)*(1+N(T22))*(1+N(U22))*(1+N(V22)))</f>
        <v/>
      </c>
      <c r="Y22" s="21">
        <f>IF($O22="","",ABS(Q22)+ABS(R22)+ABS(N(T22))+ABS(N(U22))+ABS(N(V22)))</f>
        <v/>
      </c>
      <c r="Z22" s="25">
        <f>IF($O22="","",IF(Y22&gt;Параметры!$B$6,"Нет — корректировки &gt; предела","Да"))</f>
        <v/>
      </c>
      <c r="AA22" s="25">
        <f>IF($O22="","",IF(Z22="Да",IFERROR(VLOOKUP(B22,Параметры!$A$17:$B$19,2,FALSE),0.4)/(Y22+ABS(S22/(P22*(1+Q22)))+0.1),0))</f>
        <v/>
      </c>
      <c r="AB22" s="21">
        <f>IFERROR(AA22/SUM($AA$21:$AA$60),0)</f>
        <v/>
      </c>
      <c r="AC22" s="25">
        <f>IF(Z22="Да",X22,0)</f>
        <v/>
      </c>
      <c r="AD22" s="25">
        <f>IF(Z22="Да",1,0)</f>
        <v/>
      </c>
    </row>
    <row r="23">
      <c r="A23" s="18" t="n">
        <v>3</v>
      </c>
      <c r="B23" s="5" t="n"/>
      <c r="C23" s="5" t="n"/>
      <c r="D23" s="19" t="n"/>
      <c r="E23" s="5" t="n"/>
      <c r="F23" s="5" t="n"/>
      <c r="G23" s="5" t="n"/>
      <c r="H23" s="5" t="n"/>
      <c r="I23" s="5" t="n"/>
      <c r="J23" s="9" t="n"/>
      <c r="K23" s="5" t="n"/>
      <c r="L23" s="5" t="n"/>
      <c r="M23" s="5" t="n"/>
      <c r="N23" s="5" t="n"/>
      <c r="O23" s="12" t="n"/>
      <c r="P23" s="20">
        <f>IF($O23="","",O23/J23)</f>
        <v/>
      </c>
      <c r="Q23" s="21">
        <f>IF($O23="","",IF(E23="Сделка",0,-Параметры!$B$3))</f>
        <v/>
      </c>
      <c r="R23" s="22">
        <f>IF($O23="","",IF(ABS(J23/$B$9-1)&lt;=Параметры!$B$5,0,($B$9/J23)^Параметры!$B$4-1))</f>
        <v/>
      </c>
      <c r="S23" s="23">
        <f>IF($O23="","",IFERROR(VLOOKUP($B$10,Параметры!$A$10:$D$12,IF($B$7="Аренда",4,IF($B$14="Премиум",3,2)),FALSE)-VLOOKUP(M23,Параметры!$A$10:$D$12,IF($B$7="Аренда",4,IF($B$14="Премиум",3,2)),FALSE),0))</f>
        <v/>
      </c>
      <c r="T23" s="24" t="n"/>
      <c r="U23" s="24" t="n"/>
      <c r="V23" s="24" t="n"/>
      <c r="W23" s="5" t="n"/>
      <c r="X23" s="20">
        <f>IF($O23="","",(P23*(1+Q23)*(1+R23)+S23)*(1+N(T23))*(1+N(U23))*(1+N(V23)))</f>
        <v/>
      </c>
      <c r="Y23" s="21">
        <f>IF($O23="","",ABS(Q23)+ABS(R23)+ABS(N(T23))+ABS(N(U23))+ABS(N(V23)))</f>
        <v/>
      </c>
      <c r="Z23" s="25">
        <f>IF($O23="","",IF(Y23&gt;Параметры!$B$6,"Нет — корректировки &gt; предела","Да"))</f>
        <v/>
      </c>
      <c r="AA23" s="25">
        <f>IF($O23="","",IF(Z23="Да",IFERROR(VLOOKUP(B23,Параметры!$A$17:$B$19,2,FALSE),0.4)/(Y23+ABS(S23/(P23*(1+Q23)))+0.1),0))</f>
        <v/>
      </c>
      <c r="AB23" s="21">
        <f>IFERROR(AA23/SUM($AA$21:$AA$60),0)</f>
        <v/>
      </c>
      <c r="AC23" s="25">
        <f>IF(Z23="Да",X23,0)</f>
        <v/>
      </c>
      <c r="AD23" s="25">
        <f>IF(Z23="Да",1,0)</f>
        <v/>
      </c>
    </row>
    <row r="24">
      <c r="A24" s="18" t="n">
        <v>4</v>
      </c>
      <c r="B24" s="5" t="n"/>
      <c r="C24" s="5" t="n"/>
      <c r="D24" s="19" t="n"/>
      <c r="E24" s="5" t="n"/>
      <c r="F24" s="5" t="n"/>
      <c r="G24" s="5" t="n"/>
      <c r="H24" s="5" t="n"/>
      <c r="I24" s="5" t="n"/>
      <c r="J24" s="9" t="n"/>
      <c r="K24" s="5" t="n"/>
      <c r="L24" s="5" t="n"/>
      <c r="M24" s="5" t="n"/>
      <c r="N24" s="5" t="n"/>
      <c r="O24" s="12" t="n"/>
      <c r="P24" s="20">
        <f>IF($O24="","",O24/J24)</f>
        <v/>
      </c>
      <c r="Q24" s="21">
        <f>IF($O24="","",IF(E24="Сделка",0,-Параметры!$B$3))</f>
        <v/>
      </c>
      <c r="R24" s="22">
        <f>IF($O24="","",IF(ABS(J24/$B$9-1)&lt;=Параметры!$B$5,0,($B$9/J24)^Параметры!$B$4-1))</f>
        <v/>
      </c>
      <c r="S24" s="23">
        <f>IF($O24="","",IFERROR(VLOOKUP($B$10,Параметры!$A$10:$D$12,IF($B$7="Аренда",4,IF($B$14="Премиум",3,2)),FALSE)-VLOOKUP(M24,Параметры!$A$10:$D$12,IF($B$7="Аренда",4,IF($B$14="Премиум",3,2)),FALSE),0))</f>
        <v/>
      </c>
      <c r="T24" s="24" t="n"/>
      <c r="U24" s="24" t="n"/>
      <c r="V24" s="24" t="n"/>
      <c r="W24" s="5" t="n"/>
      <c r="X24" s="20">
        <f>IF($O24="","",(P24*(1+Q24)*(1+R24)+S24)*(1+N(T24))*(1+N(U24))*(1+N(V24)))</f>
        <v/>
      </c>
      <c r="Y24" s="21">
        <f>IF($O24="","",ABS(Q24)+ABS(R24)+ABS(N(T24))+ABS(N(U24))+ABS(N(V24)))</f>
        <v/>
      </c>
      <c r="Z24" s="25">
        <f>IF($O24="","",IF(Y24&gt;Параметры!$B$6,"Нет — корректировки &gt; предела","Да"))</f>
        <v/>
      </c>
      <c r="AA24" s="25">
        <f>IF($O24="","",IF(Z24="Да",IFERROR(VLOOKUP(B24,Параметры!$A$17:$B$19,2,FALSE),0.4)/(Y24+ABS(S24/(P24*(1+Q24)))+0.1),0))</f>
        <v/>
      </c>
      <c r="AB24" s="21">
        <f>IFERROR(AA24/SUM($AA$21:$AA$60),0)</f>
        <v/>
      </c>
      <c r="AC24" s="25">
        <f>IF(Z24="Да",X24,0)</f>
        <v/>
      </c>
      <c r="AD24" s="25">
        <f>IF(Z24="Да",1,0)</f>
        <v/>
      </c>
    </row>
    <row r="25">
      <c r="A25" s="18" t="n">
        <v>5</v>
      </c>
      <c r="B25" s="5" t="n"/>
      <c r="C25" s="5" t="n"/>
      <c r="D25" s="19" t="n"/>
      <c r="E25" s="5" t="n"/>
      <c r="F25" s="5" t="n"/>
      <c r="G25" s="5" t="n"/>
      <c r="H25" s="5" t="n"/>
      <c r="I25" s="5" t="n"/>
      <c r="J25" s="9" t="n"/>
      <c r="K25" s="5" t="n"/>
      <c r="L25" s="5" t="n"/>
      <c r="M25" s="5" t="n"/>
      <c r="N25" s="5" t="n"/>
      <c r="O25" s="12" t="n"/>
      <c r="P25" s="20">
        <f>IF($O25="","",O25/J25)</f>
        <v/>
      </c>
      <c r="Q25" s="21">
        <f>IF($O25="","",IF(E25="Сделка",0,-Параметры!$B$3))</f>
        <v/>
      </c>
      <c r="R25" s="22">
        <f>IF($O25="","",IF(ABS(J25/$B$9-1)&lt;=Параметры!$B$5,0,($B$9/J25)^Параметры!$B$4-1))</f>
        <v/>
      </c>
      <c r="S25" s="23">
        <f>IF($O25="","",IFERROR(VLOOKUP($B$10,Параметры!$A$10:$D$12,IF($B$7="Аренда",4,IF($B$14="Премиум",3,2)),FALSE)-VLOOKUP(M25,Параметры!$A$10:$D$12,IF($B$7="Аренда",4,IF($B$14="Премиум",3,2)),FALSE),0))</f>
        <v/>
      </c>
      <c r="T25" s="24" t="n"/>
      <c r="U25" s="24" t="n"/>
      <c r="V25" s="24" t="n"/>
      <c r="W25" s="5" t="n"/>
      <c r="X25" s="20">
        <f>IF($O25="","",(P25*(1+Q25)*(1+R25)+S25)*(1+N(T25))*(1+N(U25))*(1+N(V25)))</f>
        <v/>
      </c>
      <c r="Y25" s="21">
        <f>IF($O25="","",ABS(Q25)+ABS(R25)+ABS(N(T25))+ABS(N(U25))+ABS(N(V25)))</f>
        <v/>
      </c>
      <c r="Z25" s="25">
        <f>IF($O25="","",IF(Y25&gt;Параметры!$B$6,"Нет — корректировки &gt; предела","Да"))</f>
        <v/>
      </c>
      <c r="AA25" s="25">
        <f>IF($O25="","",IF(Z25="Да",IFERROR(VLOOKUP(B25,Параметры!$A$17:$B$19,2,FALSE),0.4)/(Y25+ABS(S25/(P25*(1+Q25)))+0.1),0))</f>
        <v/>
      </c>
      <c r="AB25" s="21">
        <f>IFERROR(AA25/SUM($AA$21:$AA$60),0)</f>
        <v/>
      </c>
      <c r="AC25" s="25">
        <f>IF(Z25="Да",X25,0)</f>
        <v/>
      </c>
      <c r="AD25" s="25">
        <f>IF(Z25="Да",1,0)</f>
        <v/>
      </c>
    </row>
    <row r="26">
      <c r="A26" s="18" t="n">
        <v>6</v>
      </c>
      <c r="B26" s="5" t="n"/>
      <c r="C26" s="5" t="n"/>
      <c r="D26" s="19" t="n"/>
      <c r="E26" s="5" t="n"/>
      <c r="F26" s="5" t="n"/>
      <c r="G26" s="5" t="n"/>
      <c r="H26" s="5" t="n"/>
      <c r="I26" s="5" t="n"/>
      <c r="J26" s="9" t="n"/>
      <c r="K26" s="5" t="n"/>
      <c r="L26" s="5" t="n"/>
      <c r="M26" s="5" t="n"/>
      <c r="N26" s="5" t="n"/>
      <c r="O26" s="12" t="n"/>
      <c r="P26" s="20">
        <f>IF($O26="","",O26/J26)</f>
        <v/>
      </c>
      <c r="Q26" s="21">
        <f>IF($O26="","",IF(E26="Сделка",0,-Параметры!$B$3))</f>
        <v/>
      </c>
      <c r="R26" s="22">
        <f>IF($O26="","",IF(ABS(J26/$B$9-1)&lt;=Параметры!$B$5,0,($B$9/J26)^Параметры!$B$4-1))</f>
        <v/>
      </c>
      <c r="S26" s="23">
        <f>IF($O26="","",IFERROR(VLOOKUP($B$10,Параметры!$A$10:$D$12,IF($B$7="Аренда",4,IF($B$14="Премиум",3,2)),FALSE)-VLOOKUP(M26,Параметры!$A$10:$D$12,IF($B$7="Аренда",4,IF($B$14="Премиум",3,2)),FALSE),0))</f>
        <v/>
      </c>
      <c r="T26" s="24" t="n"/>
      <c r="U26" s="24" t="n"/>
      <c r="V26" s="24" t="n"/>
      <c r="W26" s="5" t="n"/>
      <c r="X26" s="20">
        <f>IF($O26="","",(P26*(1+Q26)*(1+R26)+S26)*(1+N(T26))*(1+N(U26))*(1+N(V26)))</f>
        <v/>
      </c>
      <c r="Y26" s="21">
        <f>IF($O26="","",ABS(Q26)+ABS(R26)+ABS(N(T26))+ABS(N(U26))+ABS(N(V26)))</f>
        <v/>
      </c>
      <c r="Z26" s="25">
        <f>IF($O26="","",IF(Y26&gt;Параметры!$B$6,"Нет — корректировки &gt; предела","Да"))</f>
        <v/>
      </c>
      <c r="AA26" s="25">
        <f>IF($O26="","",IF(Z26="Да",IFERROR(VLOOKUP(B26,Параметры!$A$17:$B$19,2,FALSE),0.4)/(Y26+ABS(S26/(P26*(1+Q26)))+0.1),0))</f>
        <v/>
      </c>
      <c r="AB26" s="21">
        <f>IFERROR(AA26/SUM($AA$21:$AA$60),0)</f>
        <v/>
      </c>
      <c r="AC26" s="25">
        <f>IF(Z26="Да",X26,0)</f>
        <v/>
      </c>
      <c r="AD26" s="25">
        <f>IF(Z26="Да",1,0)</f>
        <v/>
      </c>
    </row>
    <row r="27">
      <c r="A27" s="18" t="n">
        <v>7</v>
      </c>
      <c r="B27" s="5" t="n"/>
      <c r="C27" s="5" t="n"/>
      <c r="D27" s="19" t="n"/>
      <c r="E27" s="5" t="n"/>
      <c r="F27" s="5" t="n"/>
      <c r="G27" s="5" t="n"/>
      <c r="H27" s="5" t="n"/>
      <c r="I27" s="5" t="n"/>
      <c r="J27" s="9" t="n"/>
      <c r="K27" s="5" t="n"/>
      <c r="L27" s="5" t="n"/>
      <c r="M27" s="5" t="n"/>
      <c r="N27" s="5" t="n"/>
      <c r="O27" s="12" t="n"/>
      <c r="P27" s="20">
        <f>IF($O27="","",O27/J27)</f>
        <v/>
      </c>
      <c r="Q27" s="21">
        <f>IF($O27="","",IF(E27="Сделка",0,-Параметры!$B$3))</f>
        <v/>
      </c>
      <c r="R27" s="22">
        <f>IF($O27="","",IF(ABS(J27/$B$9-1)&lt;=Параметры!$B$5,0,($B$9/J27)^Параметры!$B$4-1))</f>
        <v/>
      </c>
      <c r="S27" s="23">
        <f>IF($O27="","",IFERROR(VLOOKUP($B$10,Параметры!$A$10:$D$12,IF($B$7="Аренда",4,IF($B$14="Премиум",3,2)),FALSE)-VLOOKUP(M27,Параметры!$A$10:$D$12,IF($B$7="Аренда",4,IF($B$14="Премиум",3,2)),FALSE),0))</f>
        <v/>
      </c>
      <c r="T27" s="24" t="n"/>
      <c r="U27" s="24" t="n"/>
      <c r="V27" s="24" t="n"/>
      <c r="W27" s="5" t="n"/>
      <c r="X27" s="20">
        <f>IF($O27="","",(P27*(1+Q27)*(1+R27)+S27)*(1+N(T27))*(1+N(U27))*(1+N(V27)))</f>
        <v/>
      </c>
      <c r="Y27" s="21">
        <f>IF($O27="","",ABS(Q27)+ABS(R27)+ABS(N(T27))+ABS(N(U27))+ABS(N(V27)))</f>
        <v/>
      </c>
      <c r="Z27" s="25">
        <f>IF($O27="","",IF(Y27&gt;Параметры!$B$6,"Нет — корректировки &gt; предела","Да"))</f>
        <v/>
      </c>
      <c r="AA27" s="25">
        <f>IF($O27="","",IF(Z27="Да",IFERROR(VLOOKUP(B27,Параметры!$A$17:$B$19,2,FALSE),0.4)/(Y27+ABS(S27/(P27*(1+Q27)))+0.1),0))</f>
        <v/>
      </c>
      <c r="AB27" s="21">
        <f>IFERROR(AA27/SUM($AA$21:$AA$60),0)</f>
        <v/>
      </c>
      <c r="AC27" s="25">
        <f>IF(Z27="Да",X27,0)</f>
        <v/>
      </c>
      <c r="AD27" s="25">
        <f>IF(Z27="Да",1,0)</f>
        <v/>
      </c>
    </row>
    <row r="28">
      <c r="A28" s="18" t="n">
        <v>8</v>
      </c>
      <c r="B28" s="5" t="n"/>
      <c r="C28" s="5" t="n"/>
      <c r="D28" s="19" t="n"/>
      <c r="E28" s="5" t="n"/>
      <c r="F28" s="5" t="n"/>
      <c r="G28" s="5" t="n"/>
      <c r="H28" s="5" t="n"/>
      <c r="I28" s="5" t="n"/>
      <c r="J28" s="9" t="n"/>
      <c r="K28" s="5" t="n"/>
      <c r="L28" s="5" t="n"/>
      <c r="M28" s="5" t="n"/>
      <c r="N28" s="5" t="n"/>
      <c r="O28" s="12" t="n"/>
      <c r="P28" s="20">
        <f>IF($O28="","",O28/J28)</f>
        <v/>
      </c>
      <c r="Q28" s="21">
        <f>IF($O28="","",IF(E28="Сделка",0,-Параметры!$B$3))</f>
        <v/>
      </c>
      <c r="R28" s="22">
        <f>IF($O28="","",IF(ABS(J28/$B$9-1)&lt;=Параметры!$B$5,0,($B$9/J28)^Параметры!$B$4-1))</f>
        <v/>
      </c>
      <c r="S28" s="23">
        <f>IF($O28="","",IFERROR(VLOOKUP($B$10,Параметры!$A$10:$D$12,IF($B$7="Аренда",4,IF($B$14="Премиум",3,2)),FALSE)-VLOOKUP(M28,Параметры!$A$10:$D$12,IF($B$7="Аренда",4,IF($B$14="Премиум",3,2)),FALSE),0))</f>
        <v/>
      </c>
      <c r="T28" s="24" t="n"/>
      <c r="U28" s="24" t="n"/>
      <c r="V28" s="24" t="n"/>
      <c r="W28" s="5" t="n"/>
      <c r="X28" s="20">
        <f>IF($O28="","",(P28*(1+Q28)*(1+R28)+S28)*(1+N(T28))*(1+N(U28))*(1+N(V28)))</f>
        <v/>
      </c>
      <c r="Y28" s="21">
        <f>IF($O28="","",ABS(Q28)+ABS(R28)+ABS(N(T28))+ABS(N(U28))+ABS(N(V28)))</f>
        <v/>
      </c>
      <c r="Z28" s="25">
        <f>IF($O28="","",IF(Y28&gt;Параметры!$B$6,"Нет — корректировки &gt; предела","Да"))</f>
        <v/>
      </c>
      <c r="AA28" s="25">
        <f>IF($O28="","",IF(Z28="Да",IFERROR(VLOOKUP(B28,Параметры!$A$17:$B$19,2,FALSE),0.4)/(Y28+ABS(S28/(P28*(1+Q28)))+0.1),0))</f>
        <v/>
      </c>
      <c r="AB28" s="21">
        <f>IFERROR(AA28/SUM($AA$21:$AA$60),0)</f>
        <v/>
      </c>
      <c r="AC28" s="25">
        <f>IF(Z28="Да",X28,0)</f>
        <v/>
      </c>
      <c r="AD28" s="25">
        <f>IF(Z28="Да",1,0)</f>
        <v/>
      </c>
    </row>
    <row r="29">
      <c r="A29" s="18" t="n">
        <v>9</v>
      </c>
      <c r="B29" s="5" t="n"/>
      <c r="C29" s="5" t="n"/>
      <c r="D29" s="19" t="n"/>
      <c r="E29" s="5" t="n"/>
      <c r="F29" s="5" t="n"/>
      <c r="G29" s="5" t="n"/>
      <c r="H29" s="5" t="n"/>
      <c r="I29" s="5" t="n"/>
      <c r="J29" s="9" t="n"/>
      <c r="K29" s="5" t="n"/>
      <c r="L29" s="5" t="n"/>
      <c r="M29" s="5" t="n"/>
      <c r="N29" s="5" t="n"/>
      <c r="O29" s="12" t="n"/>
      <c r="P29" s="20">
        <f>IF($O29="","",O29/J29)</f>
        <v/>
      </c>
      <c r="Q29" s="21">
        <f>IF($O29="","",IF(E29="Сделка",0,-Параметры!$B$3))</f>
        <v/>
      </c>
      <c r="R29" s="22">
        <f>IF($O29="","",IF(ABS(J29/$B$9-1)&lt;=Параметры!$B$5,0,($B$9/J29)^Параметры!$B$4-1))</f>
        <v/>
      </c>
      <c r="S29" s="23">
        <f>IF($O29="","",IFERROR(VLOOKUP($B$10,Параметры!$A$10:$D$12,IF($B$7="Аренда",4,IF($B$14="Премиум",3,2)),FALSE)-VLOOKUP(M29,Параметры!$A$10:$D$12,IF($B$7="Аренда",4,IF($B$14="Премиум",3,2)),FALSE),0))</f>
        <v/>
      </c>
      <c r="T29" s="24" t="n"/>
      <c r="U29" s="24" t="n"/>
      <c r="V29" s="24" t="n"/>
      <c r="W29" s="5" t="n"/>
      <c r="X29" s="20">
        <f>IF($O29="","",(P29*(1+Q29)*(1+R29)+S29)*(1+N(T29))*(1+N(U29))*(1+N(V29)))</f>
        <v/>
      </c>
      <c r="Y29" s="21">
        <f>IF($O29="","",ABS(Q29)+ABS(R29)+ABS(N(T29))+ABS(N(U29))+ABS(N(V29)))</f>
        <v/>
      </c>
      <c r="Z29" s="25">
        <f>IF($O29="","",IF(Y29&gt;Параметры!$B$6,"Нет — корректировки &gt; предела","Да"))</f>
        <v/>
      </c>
      <c r="AA29" s="25">
        <f>IF($O29="","",IF(Z29="Да",IFERROR(VLOOKUP(B29,Параметры!$A$17:$B$19,2,FALSE),0.4)/(Y29+ABS(S29/(P29*(1+Q29)))+0.1),0))</f>
        <v/>
      </c>
      <c r="AB29" s="21">
        <f>IFERROR(AA29/SUM($AA$21:$AA$60),0)</f>
        <v/>
      </c>
      <c r="AC29" s="25">
        <f>IF(Z29="Да",X29,0)</f>
        <v/>
      </c>
      <c r="AD29" s="25">
        <f>IF(Z29="Да",1,0)</f>
        <v/>
      </c>
    </row>
    <row r="30">
      <c r="A30" s="18" t="n">
        <v>10</v>
      </c>
      <c r="B30" s="5" t="n"/>
      <c r="C30" s="5" t="n"/>
      <c r="D30" s="19" t="n"/>
      <c r="E30" s="5" t="n"/>
      <c r="F30" s="5" t="n"/>
      <c r="G30" s="5" t="n"/>
      <c r="H30" s="5" t="n"/>
      <c r="I30" s="5" t="n"/>
      <c r="J30" s="9" t="n"/>
      <c r="K30" s="5" t="n"/>
      <c r="L30" s="5" t="n"/>
      <c r="M30" s="5" t="n"/>
      <c r="N30" s="5" t="n"/>
      <c r="O30" s="12" t="n"/>
      <c r="P30" s="20">
        <f>IF($O30="","",O30/J30)</f>
        <v/>
      </c>
      <c r="Q30" s="21">
        <f>IF($O30="","",IF(E30="Сделка",0,-Параметры!$B$3))</f>
        <v/>
      </c>
      <c r="R30" s="22">
        <f>IF($O30="","",IF(ABS(J30/$B$9-1)&lt;=Параметры!$B$5,0,($B$9/J30)^Параметры!$B$4-1))</f>
        <v/>
      </c>
      <c r="S30" s="23">
        <f>IF($O30="","",IFERROR(VLOOKUP($B$10,Параметры!$A$10:$D$12,IF($B$7="Аренда",4,IF($B$14="Премиум",3,2)),FALSE)-VLOOKUP(M30,Параметры!$A$10:$D$12,IF($B$7="Аренда",4,IF($B$14="Премиум",3,2)),FALSE),0))</f>
        <v/>
      </c>
      <c r="T30" s="24" t="n"/>
      <c r="U30" s="24" t="n"/>
      <c r="V30" s="24" t="n"/>
      <c r="W30" s="5" t="n"/>
      <c r="X30" s="20">
        <f>IF($O30="","",(P30*(1+Q30)*(1+R30)+S30)*(1+N(T30))*(1+N(U30))*(1+N(V30)))</f>
        <v/>
      </c>
      <c r="Y30" s="21">
        <f>IF($O30="","",ABS(Q30)+ABS(R30)+ABS(N(T30))+ABS(N(U30))+ABS(N(V30)))</f>
        <v/>
      </c>
      <c r="Z30" s="25">
        <f>IF($O30="","",IF(Y30&gt;Параметры!$B$6,"Нет — корректировки &gt; предела","Да"))</f>
        <v/>
      </c>
      <c r="AA30" s="25">
        <f>IF($O30="","",IF(Z30="Да",IFERROR(VLOOKUP(B30,Параметры!$A$17:$B$19,2,FALSE),0.4)/(Y30+ABS(S30/(P30*(1+Q30)))+0.1),0))</f>
        <v/>
      </c>
      <c r="AB30" s="21">
        <f>IFERROR(AA30/SUM($AA$21:$AA$60),0)</f>
        <v/>
      </c>
      <c r="AC30" s="25">
        <f>IF(Z30="Да",X30,0)</f>
        <v/>
      </c>
      <c r="AD30" s="25">
        <f>IF(Z30="Да",1,0)</f>
        <v/>
      </c>
    </row>
    <row r="31">
      <c r="A31" s="18" t="n">
        <v>11</v>
      </c>
      <c r="B31" s="5" t="n"/>
      <c r="C31" s="5" t="n"/>
      <c r="D31" s="19" t="n"/>
      <c r="E31" s="5" t="n"/>
      <c r="F31" s="5" t="n"/>
      <c r="G31" s="5" t="n"/>
      <c r="H31" s="5" t="n"/>
      <c r="I31" s="5" t="n"/>
      <c r="J31" s="9" t="n"/>
      <c r="K31" s="5" t="n"/>
      <c r="L31" s="5" t="n"/>
      <c r="M31" s="5" t="n"/>
      <c r="N31" s="5" t="n"/>
      <c r="O31" s="12" t="n"/>
      <c r="P31" s="20">
        <f>IF($O31="","",O31/J31)</f>
        <v/>
      </c>
      <c r="Q31" s="21">
        <f>IF($O31="","",IF(E31="Сделка",0,-Параметры!$B$3))</f>
        <v/>
      </c>
      <c r="R31" s="22">
        <f>IF($O31="","",IF(ABS(J31/$B$9-1)&lt;=Параметры!$B$5,0,($B$9/J31)^Параметры!$B$4-1))</f>
        <v/>
      </c>
      <c r="S31" s="23">
        <f>IF($O31="","",IFERROR(VLOOKUP($B$10,Параметры!$A$10:$D$12,IF($B$7="Аренда",4,IF($B$14="Премиум",3,2)),FALSE)-VLOOKUP(M31,Параметры!$A$10:$D$12,IF($B$7="Аренда",4,IF($B$14="Премиум",3,2)),FALSE),0))</f>
        <v/>
      </c>
      <c r="T31" s="24" t="n"/>
      <c r="U31" s="24" t="n"/>
      <c r="V31" s="24" t="n"/>
      <c r="W31" s="5" t="n"/>
      <c r="X31" s="20">
        <f>IF($O31="","",(P31*(1+Q31)*(1+R31)+S31)*(1+N(T31))*(1+N(U31))*(1+N(V31)))</f>
        <v/>
      </c>
      <c r="Y31" s="21">
        <f>IF($O31="","",ABS(Q31)+ABS(R31)+ABS(N(T31))+ABS(N(U31))+ABS(N(V31)))</f>
        <v/>
      </c>
      <c r="Z31" s="25">
        <f>IF($O31="","",IF(Y31&gt;Параметры!$B$6,"Нет — корректировки &gt; предела","Да"))</f>
        <v/>
      </c>
      <c r="AA31" s="25">
        <f>IF($O31="","",IF(Z31="Да",IFERROR(VLOOKUP(B31,Параметры!$A$17:$B$19,2,FALSE),0.4)/(Y31+ABS(S31/(P31*(1+Q31)))+0.1),0))</f>
        <v/>
      </c>
      <c r="AB31" s="21">
        <f>IFERROR(AA31/SUM($AA$21:$AA$60),0)</f>
        <v/>
      </c>
      <c r="AC31" s="25">
        <f>IF(Z31="Да",X31,0)</f>
        <v/>
      </c>
      <c r="AD31" s="25">
        <f>IF(Z31="Да",1,0)</f>
        <v/>
      </c>
    </row>
    <row r="32">
      <c r="A32" s="18" t="n">
        <v>12</v>
      </c>
      <c r="B32" s="5" t="n"/>
      <c r="C32" s="5" t="n"/>
      <c r="D32" s="19" t="n"/>
      <c r="E32" s="5" t="n"/>
      <c r="F32" s="5" t="n"/>
      <c r="G32" s="5" t="n"/>
      <c r="H32" s="5" t="n"/>
      <c r="I32" s="5" t="n"/>
      <c r="J32" s="9" t="n"/>
      <c r="K32" s="5" t="n"/>
      <c r="L32" s="5" t="n"/>
      <c r="M32" s="5" t="n"/>
      <c r="N32" s="5" t="n"/>
      <c r="O32" s="12" t="n"/>
      <c r="P32" s="20">
        <f>IF($O32="","",O32/J32)</f>
        <v/>
      </c>
      <c r="Q32" s="21">
        <f>IF($O32="","",IF(E32="Сделка",0,-Параметры!$B$3))</f>
        <v/>
      </c>
      <c r="R32" s="22">
        <f>IF($O32="","",IF(ABS(J32/$B$9-1)&lt;=Параметры!$B$5,0,($B$9/J32)^Параметры!$B$4-1))</f>
        <v/>
      </c>
      <c r="S32" s="23">
        <f>IF($O32="","",IFERROR(VLOOKUP($B$10,Параметры!$A$10:$D$12,IF($B$7="Аренда",4,IF($B$14="Премиум",3,2)),FALSE)-VLOOKUP(M32,Параметры!$A$10:$D$12,IF($B$7="Аренда",4,IF($B$14="Премиум",3,2)),FALSE),0))</f>
        <v/>
      </c>
      <c r="T32" s="24" t="n"/>
      <c r="U32" s="24" t="n"/>
      <c r="V32" s="24" t="n"/>
      <c r="W32" s="5" t="n"/>
      <c r="X32" s="20">
        <f>IF($O32="","",(P32*(1+Q32)*(1+R32)+S32)*(1+N(T32))*(1+N(U32))*(1+N(V32)))</f>
        <v/>
      </c>
      <c r="Y32" s="21">
        <f>IF($O32="","",ABS(Q32)+ABS(R32)+ABS(N(T32))+ABS(N(U32))+ABS(N(V32)))</f>
        <v/>
      </c>
      <c r="Z32" s="25">
        <f>IF($O32="","",IF(Y32&gt;Параметры!$B$6,"Нет — корректировки &gt; предела","Да"))</f>
        <v/>
      </c>
      <c r="AA32" s="25">
        <f>IF($O32="","",IF(Z32="Да",IFERROR(VLOOKUP(B32,Параметры!$A$17:$B$19,2,FALSE),0.4)/(Y32+ABS(S32/(P32*(1+Q32)))+0.1),0))</f>
        <v/>
      </c>
      <c r="AB32" s="21">
        <f>IFERROR(AA32/SUM($AA$21:$AA$60),0)</f>
        <v/>
      </c>
      <c r="AC32" s="25">
        <f>IF(Z32="Да",X32,0)</f>
        <v/>
      </c>
      <c r="AD32" s="25">
        <f>IF(Z32="Да",1,0)</f>
        <v/>
      </c>
    </row>
    <row r="33">
      <c r="A33" s="18" t="n">
        <v>13</v>
      </c>
      <c r="B33" s="5" t="n"/>
      <c r="C33" s="5" t="n"/>
      <c r="D33" s="19" t="n"/>
      <c r="E33" s="5" t="n"/>
      <c r="F33" s="5" t="n"/>
      <c r="G33" s="5" t="n"/>
      <c r="H33" s="5" t="n"/>
      <c r="I33" s="5" t="n"/>
      <c r="J33" s="9" t="n"/>
      <c r="K33" s="5" t="n"/>
      <c r="L33" s="5" t="n"/>
      <c r="M33" s="5" t="n"/>
      <c r="N33" s="5" t="n"/>
      <c r="O33" s="12" t="n"/>
      <c r="P33" s="20">
        <f>IF($O33="","",O33/J33)</f>
        <v/>
      </c>
      <c r="Q33" s="21">
        <f>IF($O33="","",IF(E33="Сделка",0,-Параметры!$B$3))</f>
        <v/>
      </c>
      <c r="R33" s="22">
        <f>IF($O33="","",IF(ABS(J33/$B$9-1)&lt;=Параметры!$B$5,0,($B$9/J33)^Параметры!$B$4-1))</f>
        <v/>
      </c>
      <c r="S33" s="23">
        <f>IF($O33="","",IFERROR(VLOOKUP($B$10,Параметры!$A$10:$D$12,IF($B$7="Аренда",4,IF($B$14="Премиум",3,2)),FALSE)-VLOOKUP(M33,Параметры!$A$10:$D$12,IF($B$7="Аренда",4,IF($B$14="Премиум",3,2)),FALSE),0))</f>
        <v/>
      </c>
      <c r="T33" s="24" t="n"/>
      <c r="U33" s="24" t="n"/>
      <c r="V33" s="24" t="n"/>
      <c r="W33" s="5" t="n"/>
      <c r="X33" s="20">
        <f>IF($O33="","",(P33*(1+Q33)*(1+R33)+S33)*(1+N(T33))*(1+N(U33))*(1+N(V33)))</f>
        <v/>
      </c>
      <c r="Y33" s="21">
        <f>IF($O33="","",ABS(Q33)+ABS(R33)+ABS(N(T33))+ABS(N(U33))+ABS(N(V33)))</f>
        <v/>
      </c>
      <c r="Z33" s="25">
        <f>IF($O33="","",IF(Y33&gt;Параметры!$B$6,"Нет — корректировки &gt; предела","Да"))</f>
        <v/>
      </c>
      <c r="AA33" s="25">
        <f>IF($O33="","",IF(Z33="Да",IFERROR(VLOOKUP(B33,Параметры!$A$17:$B$19,2,FALSE),0.4)/(Y33+ABS(S33/(P33*(1+Q33)))+0.1),0))</f>
        <v/>
      </c>
      <c r="AB33" s="21">
        <f>IFERROR(AA33/SUM($AA$21:$AA$60),0)</f>
        <v/>
      </c>
      <c r="AC33" s="25">
        <f>IF(Z33="Да",X33,0)</f>
        <v/>
      </c>
      <c r="AD33" s="25">
        <f>IF(Z33="Да",1,0)</f>
        <v/>
      </c>
    </row>
    <row r="34">
      <c r="A34" s="18" t="n">
        <v>14</v>
      </c>
      <c r="B34" s="5" t="n"/>
      <c r="C34" s="5" t="n"/>
      <c r="D34" s="19" t="n"/>
      <c r="E34" s="5" t="n"/>
      <c r="F34" s="5" t="n"/>
      <c r="G34" s="5" t="n"/>
      <c r="H34" s="5" t="n"/>
      <c r="I34" s="5" t="n"/>
      <c r="J34" s="9" t="n"/>
      <c r="K34" s="5" t="n"/>
      <c r="L34" s="5" t="n"/>
      <c r="M34" s="5" t="n"/>
      <c r="N34" s="5" t="n"/>
      <c r="O34" s="12" t="n"/>
      <c r="P34" s="20">
        <f>IF($O34="","",O34/J34)</f>
        <v/>
      </c>
      <c r="Q34" s="21">
        <f>IF($O34="","",IF(E34="Сделка",0,-Параметры!$B$3))</f>
        <v/>
      </c>
      <c r="R34" s="22">
        <f>IF($O34="","",IF(ABS(J34/$B$9-1)&lt;=Параметры!$B$5,0,($B$9/J34)^Параметры!$B$4-1))</f>
        <v/>
      </c>
      <c r="S34" s="23">
        <f>IF($O34="","",IFERROR(VLOOKUP($B$10,Параметры!$A$10:$D$12,IF($B$7="Аренда",4,IF($B$14="Премиум",3,2)),FALSE)-VLOOKUP(M34,Параметры!$A$10:$D$12,IF($B$7="Аренда",4,IF($B$14="Премиум",3,2)),FALSE),0))</f>
        <v/>
      </c>
      <c r="T34" s="24" t="n"/>
      <c r="U34" s="24" t="n"/>
      <c r="V34" s="24" t="n"/>
      <c r="W34" s="5" t="n"/>
      <c r="X34" s="20">
        <f>IF($O34="","",(P34*(1+Q34)*(1+R34)+S34)*(1+N(T34))*(1+N(U34))*(1+N(V34)))</f>
        <v/>
      </c>
      <c r="Y34" s="21">
        <f>IF($O34="","",ABS(Q34)+ABS(R34)+ABS(N(T34))+ABS(N(U34))+ABS(N(V34)))</f>
        <v/>
      </c>
      <c r="Z34" s="25">
        <f>IF($O34="","",IF(Y34&gt;Параметры!$B$6,"Нет — корректировки &gt; предела","Да"))</f>
        <v/>
      </c>
      <c r="AA34" s="25">
        <f>IF($O34="","",IF(Z34="Да",IFERROR(VLOOKUP(B34,Параметры!$A$17:$B$19,2,FALSE),0.4)/(Y34+ABS(S34/(P34*(1+Q34)))+0.1),0))</f>
        <v/>
      </c>
      <c r="AB34" s="21">
        <f>IFERROR(AA34/SUM($AA$21:$AA$60),0)</f>
        <v/>
      </c>
      <c r="AC34" s="25">
        <f>IF(Z34="Да",X34,0)</f>
        <v/>
      </c>
      <c r="AD34" s="25">
        <f>IF(Z34="Да",1,0)</f>
        <v/>
      </c>
    </row>
    <row r="35">
      <c r="A35" s="18" t="n">
        <v>15</v>
      </c>
      <c r="B35" s="5" t="n"/>
      <c r="C35" s="5" t="n"/>
      <c r="D35" s="19" t="n"/>
      <c r="E35" s="5" t="n"/>
      <c r="F35" s="5" t="n"/>
      <c r="G35" s="5" t="n"/>
      <c r="H35" s="5" t="n"/>
      <c r="I35" s="5" t="n"/>
      <c r="J35" s="9" t="n"/>
      <c r="K35" s="5" t="n"/>
      <c r="L35" s="5" t="n"/>
      <c r="M35" s="5" t="n"/>
      <c r="N35" s="5" t="n"/>
      <c r="O35" s="12" t="n"/>
      <c r="P35" s="20">
        <f>IF($O35="","",O35/J35)</f>
        <v/>
      </c>
      <c r="Q35" s="21">
        <f>IF($O35="","",IF(E35="Сделка",0,-Параметры!$B$3))</f>
        <v/>
      </c>
      <c r="R35" s="22">
        <f>IF($O35="","",IF(ABS(J35/$B$9-1)&lt;=Параметры!$B$5,0,($B$9/J35)^Параметры!$B$4-1))</f>
        <v/>
      </c>
      <c r="S35" s="23">
        <f>IF($O35="","",IFERROR(VLOOKUP($B$10,Параметры!$A$10:$D$12,IF($B$7="Аренда",4,IF($B$14="Премиум",3,2)),FALSE)-VLOOKUP(M35,Параметры!$A$10:$D$12,IF($B$7="Аренда",4,IF($B$14="Премиум",3,2)),FALSE),0))</f>
        <v/>
      </c>
      <c r="T35" s="24" t="n"/>
      <c r="U35" s="24" t="n"/>
      <c r="V35" s="24" t="n"/>
      <c r="W35" s="5" t="n"/>
      <c r="X35" s="20">
        <f>IF($O35="","",(P35*(1+Q35)*(1+R35)+S35)*(1+N(T35))*(1+N(U35))*(1+N(V35)))</f>
        <v/>
      </c>
      <c r="Y35" s="21">
        <f>IF($O35="","",ABS(Q35)+ABS(R35)+ABS(N(T35))+ABS(N(U35))+ABS(N(V35)))</f>
        <v/>
      </c>
      <c r="Z35" s="25">
        <f>IF($O35="","",IF(Y35&gt;Параметры!$B$6,"Нет — корректировки &gt; предела","Да"))</f>
        <v/>
      </c>
      <c r="AA35" s="25">
        <f>IF($O35="","",IF(Z35="Да",IFERROR(VLOOKUP(B35,Параметры!$A$17:$B$19,2,FALSE),0.4)/(Y35+ABS(S35/(P35*(1+Q35)))+0.1),0))</f>
        <v/>
      </c>
      <c r="AB35" s="21">
        <f>IFERROR(AA35/SUM($AA$21:$AA$60),0)</f>
        <v/>
      </c>
      <c r="AC35" s="25">
        <f>IF(Z35="Да",X35,0)</f>
        <v/>
      </c>
      <c r="AD35" s="25">
        <f>IF(Z35="Да",1,0)</f>
        <v/>
      </c>
    </row>
    <row r="36">
      <c r="A36" s="18" t="n">
        <v>16</v>
      </c>
      <c r="B36" s="5" t="n"/>
      <c r="C36" s="5" t="n"/>
      <c r="D36" s="19" t="n"/>
      <c r="E36" s="5" t="n"/>
      <c r="F36" s="5" t="n"/>
      <c r="G36" s="5" t="n"/>
      <c r="H36" s="5" t="n"/>
      <c r="I36" s="5" t="n"/>
      <c r="J36" s="9" t="n"/>
      <c r="K36" s="5" t="n"/>
      <c r="L36" s="5" t="n"/>
      <c r="M36" s="5" t="n"/>
      <c r="N36" s="5" t="n"/>
      <c r="O36" s="12" t="n"/>
      <c r="P36" s="20">
        <f>IF($O36="","",O36/J36)</f>
        <v/>
      </c>
      <c r="Q36" s="21">
        <f>IF($O36="","",IF(E36="Сделка",0,-Параметры!$B$3))</f>
        <v/>
      </c>
      <c r="R36" s="22">
        <f>IF($O36="","",IF(ABS(J36/$B$9-1)&lt;=Параметры!$B$5,0,($B$9/J36)^Параметры!$B$4-1))</f>
        <v/>
      </c>
      <c r="S36" s="23">
        <f>IF($O36="","",IFERROR(VLOOKUP($B$10,Параметры!$A$10:$D$12,IF($B$7="Аренда",4,IF($B$14="Премиум",3,2)),FALSE)-VLOOKUP(M36,Параметры!$A$10:$D$12,IF($B$7="Аренда",4,IF($B$14="Премиум",3,2)),FALSE),0))</f>
        <v/>
      </c>
      <c r="T36" s="24" t="n"/>
      <c r="U36" s="24" t="n"/>
      <c r="V36" s="24" t="n"/>
      <c r="W36" s="5" t="n"/>
      <c r="X36" s="20">
        <f>IF($O36="","",(P36*(1+Q36)*(1+R36)+S36)*(1+N(T36))*(1+N(U36))*(1+N(V36)))</f>
        <v/>
      </c>
      <c r="Y36" s="21">
        <f>IF($O36="","",ABS(Q36)+ABS(R36)+ABS(N(T36))+ABS(N(U36))+ABS(N(V36)))</f>
        <v/>
      </c>
      <c r="Z36" s="25">
        <f>IF($O36="","",IF(Y36&gt;Параметры!$B$6,"Нет — корректировки &gt; предела","Да"))</f>
        <v/>
      </c>
      <c r="AA36" s="25">
        <f>IF($O36="","",IF(Z36="Да",IFERROR(VLOOKUP(B36,Параметры!$A$17:$B$19,2,FALSE),0.4)/(Y36+ABS(S36/(P36*(1+Q36)))+0.1),0))</f>
        <v/>
      </c>
      <c r="AB36" s="21">
        <f>IFERROR(AA36/SUM($AA$21:$AA$60),0)</f>
        <v/>
      </c>
      <c r="AC36" s="25">
        <f>IF(Z36="Да",X36,0)</f>
        <v/>
      </c>
      <c r="AD36" s="25">
        <f>IF(Z36="Да",1,0)</f>
        <v/>
      </c>
    </row>
    <row r="37">
      <c r="A37" s="18" t="n">
        <v>17</v>
      </c>
      <c r="B37" s="5" t="n"/>
      <c r="C37" s="5" t="n"/>
      <c r="D37" s="19" t="n"/>
      <c r="E37" s="5" t="n"/>
      <c r="F37" s="5" t="n"/>
      <c r="G37" s="5" t="n"/>
      <c r="H37" s="5" t="n"/>
      <c r="I37" s="5" t="n"/>
      <c r="J37" s="9" t="n"/>
      <c r="K37" s="5" t="n"/>
      <c r="L37" s="5" t="n"/>
      <c r="M37" s="5" t="n"/>
      <c r="N37" s="5" t="n"/>
      <c r="O37" s="12" t="n"/>
      <c r="P37" s="20">
        <f>IF($O37="","",O37/J37)</f>
        <v/>
      </c>
      <c r="Q37" s="21">
        <f>IF($O37="","",IF(E37="Сделка",0,-Параметры!$B$3))</f>
        <v/>
      </c>
      <c r="R37" s="22">
        <f>IF($O37="","",IF(ABS(J37/$B$9-1)&lt;=Параметры!$B$5,0,($B$9/J37)^Параметры!$B$4-1))</f>
        <v/>
      </c>
      <c r="S37" s="23">
        <f>IF($O37="","",IFERROR(VLOOKUP($B$10,Параметры!$A$10:$D$12,IF($B$7="Аренда",4,IF($B$14="Премиум",3,2)),FALSE)-VLOOKUP(M37,Параметры!$A$10:$D$12,IF($B$7="Аренда",4,IF($B$14="Премиум",3,2)),FALSE),0))</f>
        <v/>
      </c>
      <c r="T37" s="24" t="n"/>
      <c r="U37" s="24" t="n"/>
      <c r="V37" s="24" t="n"/>
      <c r="W37" s="5" t="n"/>
      <c r="X37" s="20">
        <f>IF($O37="","",(P37*(1+Q37)*(1+R37)+S37)*(1+N(T37))*(1+N(U37))*(1+N(V37)))</f>
        <v/>
      </c>
      <c r="Y37" s="21">
        <f>IF($O37="","",ABS(Q37)+ABS(R37)+ABS(N(T37))+ABS(N(U37))+ABS(N(V37)))</f>
        <v/>
      </c>
      <c r="Z37" s="25">
        <f>IF($O37="","",IF(Y37&gt;Параметры!$B$6,"Нет — корректировки &gt; предела","Да"))</f>
        <v/>
      </c>
      <c r="AA37" s="25">
        <f>IF($O37="","",IF(Z37="Да",IFERROR(VLOOKUP(B37,Параметры!$A$17:$B$19,2,FALSE),0.4)/(Y37+ABS(S37/(P37*(1+Q37)))+0.1),0))</f>
        <v/>
      </c>
      <c r="AB37" s="21">
        <f>IFERROR(AA37/SUM($AA$21:$AA$60),0)</f>
        <v/>
      </c>
      <c r="AC37" s="25">
        <f>IF(Z37="Да",X37,0)</f>
        <v/>
      </c>
      <c r="AD37" s="25">
        <f>IF(Z37="Да",1,0)</f>
        <v/>
      </c>
    </row>
    <row r="38">
      <c r="A38" s="18" t="n">
        <v>18</v>
      </c>
      <c r="B38" s="5" t="n"/>
      <c r="C38" s="5" t="n"/>
      <c r="D38" s="19" t="n"/>
      <c r="E38" s="5" t="n"/>
      <c r="F38" s="5" t="n"/>
      <c r="G38" s="5" t="n"/>
      <c r="H38" s="5" t="n"/>
      <c r="I38" s="5" t="n"/>
      <c r="J38" s="9" t="n"/>
      <c r="K38" s="5" t="n"/>
      <c r="L38" s="5" t="n"/>
      <c r="M38" s="5" t="n"/>
      <c r="N38" s="5" t="n"/>
      <c r="O38" s="12" t="n"/>
      <c r="P38" s="20">
        <f>IF($O38="","",O38/J38)</f>
        <v/>
      </c>
      <c r="Q38" s="21">
        <f>IF($O38="","",IF(E38="Сделка",0,-Параметры!$B$3))</f>
        <v/>
      </c>
      <c r="R38" s="22">
        <f>IF($O38="","",IF(ABS(J38/$B$9-1)&lt;=Параметры!$B$5,0,($B$9/J38)^Параметры!$B$4-1))</f>
        <v/>
      </c>
      <c r="S38" s="23">
        <f>IF($O38="","",IFERROR(VLOOKUP($B$10,Параметры!$A$10:$D$12,IF($B$7="Аренда",4,IF($B$14="Премиум",3,2)),FALSE)-VLOOKUP(M38,Параметры!$A$10:$D$12,IF($B$7="Аренда",4,IF($B$14="Премиум",3,2)),FALSE),0))</f>
        <v/>
      </c>
      <c r="T38" s="24" t="n"/>
      <c r="U38" s="24" t="n"/>
      <c r="V38" s="24" t="n"/>
      <c r="W38" s="5" t="n"/>
      <c r="X38" s="20">
        <f>IF($O38="","",(P38*(1+Q38)*(1+R38)+S38)*(1+N(T38))*(1+N(U38))*(1+N(V38)))</f>
        <v/>
      </c>
      <c r="Y38" s="21">
        <f>IF($O38="","",ABS(Q38)+ABS(R38)+ABS(N(T38))+ABS(N(U38))+ABS(N(V38)))</f>
        <v/>
      </c>
      <c r="Z38" s="25">
        <f>IF($O38="","",IF(Y38&gt;Параметры!$B$6,"Нет — корректировки &gt; предела","Да"))</f>
        <v/>
      </c>
      <c r="AA38" s="25">
        <f>IF($O38="","",IF(Z38="Да",IFERROR(VLOOKUP(B38,Параметры!$A$17:$B$19,2,FALSE),0.4)/(Y38+ABS(S38/(P38*(1+Q38)))+0.1),0))</f>
        <v/>
      </c>
      <c r="AB38" s="21">
        <f>IFERROR(AA38/SUM($AA$21:$AA$60),0)</f>
        <v/>
      </c>
      <c r="AC38" s="25">
        <f>IF(Z38="Да",X38,0)</f>
        <v/>
      </c>
      <c r="AD38" s="25">
        <f>IF(Z38="Да",1,0)</f>
        <v/>
      </c>
    </row>
    <row r="39">
      <c r="A39" s="18" t="n">
        <v>19</v>
      </c>
      <c r="B39" s="5" t="n"/>
      <c r="C39" s="5" t="n"/>
      <c r="D39" s="19" t="n"/>
      <c r="E39" s="5" t="n"/>
      <c r="F39" s="5" t="n"/>
      <c r="G39" s="5" t="n"/>
      <c r="H39" s="5" t="n"/>
      <c r="I39" s="5" t="n"/>
      <c r="J39" s="9" t="n"/>
      <c r="K39" s="5" t="n"/>
      <c r="L39" s="5" t="n"/>
      <c r="M39" s="5" t="n"/>
      <c r="N39" s="5" t="n"/>
      <c r="O39" s="12" t="n"/>
      <c r="P39" s="20">
        <f>IF($O39="","",O39/J39)</f>
        <v/>
      </c>
      <c r="Q39" s="21">
        <f>IF($O39="","",IF(E39="Сделка",0,-Параметры!$B$3))</f>
        <v/>
      </c>
      <c r="R39" s="22">
        <f>IF($O39="","",IF(ABS(J39/$B$9-1)&lt;=Параметры!$B$5,0,($B$9/J39)^Параметры!$B$4-1))</f>
        <v/>
      </c>
      <c r="S39" s="23">
        <f>IF($O39="","",IFERROR(VLOOKUP($B$10,Параметры!$A$10:$D$12,IF($B$7="Аренда",4,IF($B$14="Премиум",3,2)),FALSE)-VLOOKUP(M39,Параметры!$A$10:$D$12,IF($B$7="Аренда",4,IF($B$14="Премиум",3,2)),FALSE),0))</f>
        <v/>
      </c>
      <c r="T39" s="24" t="n"/>
      <c r="U39" s="24" t="n"/>
      <c r="V39" s="24" t="n"/>
      <c r="W39" s="5" t="n"/>
      <c r="X39" s="20">
        <f>IF($O39="","",(P39*(1+Q39)*(1+R39)+S39)*(1+N(T39))*(1+N(U39))*(1+N(V39)))</f>
        <v/>
      </c>
      <c r="Y39" s="21">
        <f>IF($O39="","",ABS(Q39)+ABS(R39)+ABS(N(T39))+ABS(N(U39))+ABS(N(V39)))</f>
        <v/>
      </c>
      <c r="Z39" s="25">
        <f>IF($O39="","",IF(Y39&gt;Параметры!$B$6,"Нет — корректировки &gt; предела","Да"))</f>
        <v/>
      </c>
      <c r="AA39" s="25">
        <f>IF($O39="","",IF(Z39="Да",IFERROR(VLOOKUP(B39,Параметры!$A$17:$B$19,2,FALSE),0.4)/(Y39+ABS(S39/(P39*(1+Q39)))+0.1),0))</f>
        <v/>
      </c>
      <c r="AB39" s="21">
        <f>IFERROR(AA39/SUM($AA$21:$AA$60),0)</f>
        <v/>
      </c>
      <c r="AC39" s="25">
        <f>IF(Z39="Да",X39,0)</f>
        <v/>
      </c>
      <c r="AD39" s="25">
        <f>IF(Z39="Да",1,0)</f>
        <v/>
      </c>
    </row>
    <row r="40">
      <c r="A40" s="18" t="n">
        <v>20</v>
      </c>
      <c r="B40" s="5" t="n"/>
      <c r="C40" s="5" t="n"/>
      <c r="D40" s="19" t="n"/>
      <c r="E40" s="5" t="n"/>
      <c r="F40" s="5" t="n"/>
      <c r="G40" s="5" t="n"/>
      <c r="H40" s="5" t="n"/>
      <c r="I40" s="5" t="n"/>
      <c r="J40" s="9" t="n"/>
      <c r="K40" s="5" t="n"/>
      <c r="L40" s="5" t="n"/>
      <c r="M40" s="5" t="n"/>
      <c r="N40" s="5" t="n"/>
      <c r="O40" s="12" t="n"/>
      <c r="P40" s="20">
        <f>IF($O40="","",O40/J40)</f>
        <v/>
      </c>
      <c r="Q40" s="21">
        <f>IF($O40="","",IF(E40="Сделка",0,-Параметры!$B$3))</f>
        <v/>
      </c>
      <c r="R40" s="22">
        <f>IF($O40="","",IF(ABS(J40/$B$9-1)&lt;=Параметры!$B$5,0,($B$9/J40)^Параметры!$B$4-1))</f>
        <v/>
      </c>
      <c r="S40" s="23">
        <f>IF($O40="","",IFERROR(VLOOKUP($B$10,Параметры!$A$10:$D$12,IF($B$7="Аренда",4,IF($B$14="Премиум",3,2)),FALSE)-VLOOKUP(M40,Параметры!$A$10:$D$12,IF($B$7="Аренда",4,IF($B$14="Премиум",3,2)),FALSE),0))</f>
        <v/>
      </c>
      <c r="T40" s="24" t="n"/>
      <c r="U40" s="24" t="n"/>
      <c r="V40" s="24" t="n"/>
      <c r="W40" s="5" t="n"/>
      <c r="X40" s="20">
        <f>IF($O40="","",(P40*(1+Q40)*(1+R40)+S40)*(1+N(T40))*(1+N(U40))*(1+N(V40)))</f>
        <v/>
      </c>
      <c r="Y40" s="21">
        <f>IF($O40="","",ABS(Q40)+ABS(R40)+ABS(N(T40))+ABS(N(U40))+ABS(N(V40)))</f>
        <v/>
      </c>
      <c r="Z40" s="25">
        <f>IF($O40="","",IF(Y40&gt;Параметры!$B$6,"Нет — корректировки &gt; предела","Да"))</f>
        <v/>
      </c>
      <c r="AA40" s="25">
        <f>IF($O40="","",IF(Z40="Да",IFERROR(VLOOKUP(B40,Параметры!$A$17:$B$19,2,FALSE),0.4)/(Y40+ABS(S40/(P40*(1+Q40)))+0.1),0))</f>
        <v/>
      </c>
      <c r="AB40" s="21">
        <f>IFERROR(AA40/SUM($AA$21:$AA$60),0)</f>
        <v/>
      </c>
      <c r="AC40" s="25">
        <f>IF(Z40="Да",X40,0)</f>
        <v/>
      </c>
      <c r="AD40" s="25">
        <f>IF(Z40="Да",1,0)</f>
        <v/>
      </c>
    </row>
    <row r="41">
      <c r="A41" s="18" t="n">
        <v>21</v>
      </c>
      <c r="B41" s="5" t="n"/>
      <c r="C41" s="5" t="n"/>
      <c r="D41" s="19" t="n"/>
      <c r="E41" s="5" t="n"/>
      <c r="F41" s="5" t="n"/>
      <c r="G41" s="5" t="n"/>
      <c r="H41" s="5" t="n"/>
      <c r="I41" s="5" t="n"/>
      <c r="J41" s="9" t="n"/>
      <c r="K41" s="5" t="n"/>
      <c r="L41" s="5" t="n"/>
      <c r="M41" s="5" t="n"/>
      <c r="N41" s="5" t="n"/>
      <c r="O41" s="12" t="n"/>
      <c r="P41" s="20">
        <f>IF($O41="","",O41/J41)</f>
        <v/>
      </c>
      <c r="Q41" s="21">
        <f>IF($O41="","",IF(E41="Сделка",0,-Параметры!$B$3))</f>
        <v/>
      </c>
      <c r="R41" s="22">
        <f>IF($O41="","",IF(ABS(J41/$B$9-1)&lt;=Параметры!$B$5,0,($B$9/J41)^Параметры!$B$4-1))</f>
        <v/>
      </c>
      <c r="S41" s="23">
        <f>IF($O41="","",IFERROR(VLOOKUP($B$10,Параметры!$A$10:$D$12,IF($B$7="Аренда",4,IF($B$14="Премиум",3,2)),FALSE)-VLOOKUP(M41,Параметры!$A$10:$D$12,IF($B$7="Аренда",4,IF($B$14="Премиум",3,2)),FALSE),0))</f>
        <v/>
      </c>
      <c r="T41" s="24" t="n"/>
      <c r="U41" s="24" t="n"/>
      <c r="V41" s="24" t="n"/>
      <c r="W41" s="5" t="n"/>
      <c r="X41" s="20">
        <f>IF($O41="","",(P41*(1+Q41)*(1+R41)+S41)*(1+N(T41))*(1+N(U41))*(1+N(V41)))</f>
        <v/>
      </c>
      <c r="Y41" s="21">
        <f>IF($O41="","",ABS(Q41)+ABS(R41)+ABS(N(T41))+ABS(N(U41))+ABS(N(V41)))</f>
        <v/>
      </c>
      <c r="Z41" s="25">
        <f>IF($O41="","",IF(Y41&gt;Параметры!$B$6,"Нет — корректировки &gt; предела","Да"))</f>
        <v/>
      </c>
      <c r="AA41" s="25">
        <f>IF($O41="","",IF(Z41="Да",IFERROR(VLOOKUP(B41,Параметры!$A$17:$B$19,2,FALSE),0.4)/(Y41+ABS(S41/(P41*(1+Q41)))+0.1),0))</f>
        <v/>
      </c>
      <c r="AB41" s="21">
        <f>IFERROR(AA41/SUM($AA$21:$AA$60),0)</f>
        <v/>
      </c>
      <c r="AC41" s="25">
        <f>IF(Z41="Да",X41,0)</f>
        <v/>
      </c>
      <c r="AD41" s="25">
        <f>IF(Z41="Да",1,0)</f>
        <v/>
      </c>
    </row>
    <row r="42">
      <c r="A42" s="18" t="n">
        <v>22</v>
      </c>
      <c r="B42" s="5" t="n"/>
      <c r="C42" s="5" t="n"/>
      <c r="D42" s="19" t="n"/>
      <c r="E42" s="5" t="n"/>
      <c r="F42" s="5" t="n"/>
      <c r="G42" s="5" t="n"/>
      <c r="H42" s="5" t="n"/>
      <c r="I42" s="5" t="n"/>
      <c r="J42" s="9" t="n"/>
      <c r="K42" s="5" t="n"/>
      <c r="L42" s="5" t="n"/>
      <c r="M42" s="5" t="n"/>
      <c r="N42" s="5" t="n"/>
      <c r="O42" s="12" t="n"/>
      <c r="P42" s="20">
        <f>IF($O42="","",O42/J42)</f>
        <v/>
      </c>
      <c r="Q42" s="21">
        <f>IF($O42="","",IF(E42="Сделка",0,-Параметры!$B$3))</f>
        <v/>
      </c>
      <c r="R42" s="22">
        <f>IF($O42="","",IF(ABS(J42/$B$9-1)&lt;=Параметры!$B$5,0,($B$9/J42)^Параметры!$B$4-1))</f>
        <v/>
      </c>
      <c r="S42" s="23">
        <f>IF($O42="","",IFERROR(VLOOKUP($B$10,Параметры!$A$10:$D$12,IF($B$7="Аренда",4,IF($B$14="Премиум",3,2)),FALSE)-VLOOKUP(M42,Параметры!$A$10:$D$12,IF($B$7="Аренда",4,IF($B$14="Премиум",3,2)),FALSE),0))</f>
        <v/>
      </c>
      <c r="T42" s="24" t="n"/>
      <c r="U42" s="24" t="n"/>
      <c r="V42" s="24" t="n"/>
      <c r="W42" s="5" t="n"/>
      <c r="X42" s="20">
        <f>IF($O42="","",(P42*(1+Q42)*(1+R42)+S42)*(1+N(T42))*(1+N(U42))*(1+N(V42)))</f>
        <v/>
      </c>
      <c r="Y42" s="21">
        <f>IF($O42="","",ABS(Q42)+ABS(R42)+ABS(N(T42))+ABS(N(U42))+ABS(N(V42)))</f>
        <v/>
      </c>
      <c r="Z42" s="25">
        <f>IF($O42="","",IF(Y42&gt;Параметры!$B$6,"Нет — корректировки &gt; предела","Да"))</f>
        <v/>
      </c>
      <c r="AA42" s="25">
        <f>IF($O42="","",IF(Z42="Да",IFERROR(VLOOKUP(B42,Параметры!$A$17:$B$19,2,FALSE),0.4)/(Y42+ABS(S42/(P42*(1+Q42)))+0.1),0))</f>
        <v/>
      </c>
      <c r="AB42" s="21">
        <f>IFERROR(AA42/SUM($AA$21:$AA$60),0)</f>
        <v/>
      </c>
      <c r="AC42" s="25">
        <f>IF(Z42="Да",X42,0)</f>
        <v/>
      </c>
      <c r="AD42" s="25">
        <f>IF(Z42="Да",1,0)</f>
        <v/>
      </c>
    </row>
    <row r="43">
      <c r="A43" s="18" t="n">
        <v>23</v>
      </c>
      <c r="B43" s="5" t="n"/>
      <c r="C43" s="5" t="n"/>
      <c r="D43" s="19" t="n"/>
      <c r="E43" s="5" t="n"/>
      <c r="F43" s="5" t="n"/>
      <c r="G43" s="5" t="n"/>
      <c r="H43" s="5" t="n"/>
      <c r="I43" s="5" t="n"/>
      <c r="J43" s="9" t="n"/>
      <c r="K43" s="5" t="n"/>
      <c r="L43" s="5" t="n"/>
      <c r="M43" s="5" t="n"/>
      <c r="N43" s="5" t="n"/>
      <c r="O43" s="12" t="n"/>
      <c r="P43" s="20">
        <f>IF($O43="","",O43/J43)</f>
        <v/>
      </c>
      <c r="Q43" s="21">
        <f>IF($O43="","",IF(E43="Сделка",0,-Параметры!$B$3))</f>
        <v/>
      </c>
      <c r="R43" s="22">
        <f>IF($O43="","",IF(ABS(J43/$B$9-1)&lt;=Параметры!$B$5,0,($B$9/J43)^Параметры!$B$4-1))</f>
        <v/>
      </c>
      <c r="S43" s="23">
        <f>IF($O43="","",IFERROR(VLOOKUP($B$10,Параметры!$A$10:$D$12,IF($B$7="Аренда",4,IF($B$14="Премиум",3,2)),FALSE)-VLOOKUP(M43,Параметры!$A$10:$D$12,IF($B$7="Аренда",4,IF($B$14="Премиум",3,2)),FALSE),0))</f>
        <v/>
      </c>
      <c r="T43" s="24" t="n"/>
      <c r="U43" s="24" t="n"/>
      <c r="V43" s="24" t="n"/>
      <c r="W43" s="5" t="n"/>
      <c r="X43" s="20">
        <f>IF($O43="","",(P43*(1+Q43)*(1+R43)+S43)*(1+N(T43))*(1+N(U43))*(1+N(V43)))</f>
        <v/>
      </c>
      <c r="Y43" s="21">
        <f>IF($O43="","",ABS(Q43)+ABS(R43)+ABS(N(T43))+ABS(N(U43))+ABS(N(V43)))</f>
        <v/>
      </c>
      <c r="Z43" s="25">
        <f>IF($O43="","",IF(Y43&gt;Параметры!$B$6,"Нет — корректировки &gt; предела","Да"))</f>
        <v/>
      </c>
      <c r="AA43" s="25">
        <f>IF($O43="","",IF(Z43="Да",IFERROR(VLOOKUP(B43,Параметры!$A$17:$B$19,2,FALSE),0.4)/(Y43+ABS(S43/(P43*(1+Q43)))+0.1),0))</f>
        <v/>
      </c>
      <c r="AB43" s="21">
        <f>IFERROR(AA43/SUM($AA$21:$AA$60),0)</f>
        <v/>
      </c>
      <c r="AC43" s="25">
        <f>IF(Z43="Да",X43,0)</f>
        <v/>
      </c>
      <c r="AD43" s="25">
        <f>IF(Z43="Да",1,0)</f>
        <v/>
      </c>
    </row>
    <row r="44">
      <c r="A44" s="18" t="n">
        <v>24</v>
      </c>
      <c r="B44" s="5" t="n"/>
      <c r="C44" s="5" t="n"/>
      <c r="D44" s="19" t="n"/>
      <c r="E44" s="5" t="n"/>
      <c r="F44" s="5" t="n"/>
      <c r="G44" s="5" t="n"/>
      <c r="H44" s="5" t="n"/>
      <c r="I44" s="5" t="n"/>
      <c r="J44" s="9" t="n"/>
      <c r="K44" s="5" t="n"/>
      <c r="L44" s="5" t="n"/>
      <c r="M44" s="5" t="n"/>
      <c r="N44" s="5" t="n"/>
      <c r="O44" s="12" t="n"/>
      <c r="P44" s="20">
        <f>IF($O44="","",O44/J44)</f>
        <v/>
      </c>
      <c r="Q44" s="21">
        <f>IF($O44="","",IF(E44="Сделка",0,-Параметры!$B$3))</f>
        <v/>
      </c>
      <c r="R44" s="22">
        <f>IF($O44="","",IF(ABS(J44/$B$9-1)&lt;=Параметры!$B$5,0,($B$9/J44)^Параметры!$B$4-1))</f>
        <v/>
      </c>
      <c r="S44" s="23">
        <f>IF($O44="","",IFERROR(VLOOKUP($B$10,Параметры!$A$10:$D$12,IF($B$7="Аренда",4,IF($B$14="Премиум",3,2)),FALSE)-VLOOKUP(M44,Параметры!$A$10:$D$12,IF($B$7="Аренда",4,IF($B$14="Премиум",3,2)),FALSE),0))</f>
        <v/>
      </c>
      <c r="T44" s="24" t="n"/>
      <c r="U44" s="24" t="n"/>
      <c r="V44" s="24" t="n"/>
      <c r="W44" s="5" t="n"/>
      <c r="X44" s="20">
        <f>IF($O44="","",(P44*(1+Q44)*(1+R44)+S44)*(1+N(T44))*(1+N(U44))*(1+N(V44)))</f>
        <v/>
      </c>
      <c r="Y44" s="21">
        <f>IF($O44="","",ABS(Q44)+ABS(R44)+ABS(N(T44))+ABS(N(U44))+ABS(N(V44)))</f>
        <v/>
      </c>
      <c r="Z44" s="25">
        <f>IF($O44="","",IF(Y44&gt;Параметры!$B$6,"Нет — корректировки &gt; предела","Да"))</f>
        <v/>
      </c>
      <c r="AA44" s="25">
        <f>IF($O44="","",IF(Z44="Да",IFERROR(VLOOKUP(B44,Параметры!$A$17:$B$19,2,FALSE),0.4)/(Y44+ABS(S44/(P44*(1+Q44)))+0.1),0))</f>
        <v/>
      </c>
      <c r="AB44" s="21">
        <f>IFERROR(AA44/SUM($AA$21:$AA$60),0)</f>
        <v/>
      </c>
      <c r="AC44" s="25">
        <f>IF(Z44="Да",X44,0)</f>
        <v/>
      </c>
      <c r="AD44" s="25">
        <f>IF(Z44="Да",1,0)</f>
        <v/>
      </c>
    </row>
    <row r="45">
      <c r="A45" s="18" t="n">
        <v>25</v>
      </c>
      <c r="B45" s="5" t="n"/>
      <c r="C45" s="5" t="n"/>
      <c r="D45" s="19" t="n"/>
      <c r="E45" s="5" t="n"/>
      <c r="F45" s="5" t="n"/>
      <c r="G45" s="5" t="n"/>
      <c r="H45" s="5" t="n"/>
      <c r="I45" s="5" t="n"/>
      <c r="J45" s="9" t="n"/>
      <c r="K45" s="5" t="n"/>
      <c r="L45" s="5" t="n"/>
      <c r="M45" s="5" t="n"/>
      <c r="N45" s="5" t="n"/>
      <c r="O45" s="12" t="n"/>
      <c r="P45" s="20">
        <f>IF($O45="","",O45/J45)</f>
        <v/>
      </c>
      <c r="Q45" s="21">
        <f>IF($O45="","",IF(E45="Сделка",0,-Параметры!$B$3))</f>
        <v/>
      </c>
      <c r="R45" s="22">
        <f>IF($O45="","",IF(ABS(J45/$B$9-1)&lt;=Параметры!$B$5,0,($B$9/J45)^Параметры!$B$4-1))</f>
        <v/>
      </c>
      <c r="S45" s="23">
        <f>IF($O45="","",IFERROR(VLOOKUP($B$10,Параметры!$A$10:$D$12,IF($B$7="Аренда",4,IF($B$14="Премиум",3,2)),FALSE)-VLOOKUP(M45,Параметры!$A$10:$D$12,IF($B$7="Аренда",4,IF($B$14="Премиум",3,2)),FALSE),0))</f>
        <v/>
      </c>
      <c r="T45" s="24" t="n"/>
      <c r="U45" s="24" t="n"/>
      <c r="V45" s="24" t="n"/>
      <c r="W45" s="5" t="n"/>
      <c r="X45" s="20">
        <f>IF($O45="","",(P45*(1+Q45)*(1+R45)+S45)*(1+N(T45))*(1+N(U45))*(1+N(V45)))</f>
        <v/>
      </c>
      <c r="Y45" s="21">
        <f>IF($O45="","",ABS(Q45)+ABS(R45)+ABS(N(T45))+ABS(N(U45))+ABS(N(V45)))</f>
        <v/>
      </c>
      <c r="Z45" s="25">
        <f>IF($O45="","",IF(Y45&gt;Параметры!$B$6,"Нет — корректировки &gt; предела","Да"))</f>
        <v/>
      </c>
      <c r="AA45" s="25">
        <f>IF($O45="","",IF(Z45="Да",IFERROR(VLOOKUP(B45,Параметры!$A$17:$B$19,2,FALSE),0.4)/(Y45+ABS(S45/(P45*(1+Q45)))+0.1),0))</f>
        <v/>
      </c>
      <c r="AB45" s="21">
        <f>IFERROR(AA45/SUM($AA$21:$AA$60),0)</f>
        <v/>
      </c>
      <c r="AC45" s="25">
        <f>IF(Z45="Да",X45,0)</f>
        <v/>
      </c>
      <c r="AD45" s="25">
        <f>IF(Z45="Да",1,0)</f>
        <v/>
      </c>
    </row>
    <row r="46">
      <c r="A46" s="18" t="n">
        <v>26</v>
      </c>
      <c r="B46" s="5" t="n"/>
      <c r="C46" s="5" t="n"/>
      <c r="D46" s="19" t="n"/>
      <c r="E46" s="5" t="n"/>
      <c r="F46" s="5" t="n"/>
      <c r="G46" s="5" t="n"/>
      <c r="H46" s="5" t="n"/>
      <c r="I46" s="5" t="n"/>
      <c r="J46" s="9" t="n"/>
      <c r="K46" s="5" t="n"/>
      <c r="L46" s="5" t="n"/>
      <c r="M46" s="5" t="n"/>
      <c r="N46" s="5" t="n"/>
      <c r="O46" s="12" t="n"/>
      <c r="P46" s="20">
        <f>IF($O46="","",O46/J46)</f>
        <v/>
      </c>
      <c r="Q46" s="21">
        <f>IF($O46="","",IF(E46="Сделка",0,-Параметры!$B$3))</f>
        <v/>
      </c>
      <c r="R46" s="22">
        <f>IF($O46="","",IF(ABS(J46/$B$9-1)&lt;=Параметры!$B$5,0,($B$9/J46)^Параметры!$B$4-1))</f>
        <v/>
      </c>
      <c r="S46" s="23">
        <f>IF($O46="","",IFERROR(VLOOKUP($B$10,Параметры!$A$10:$D$12,IF($B$7="Аренда",4,IF($B$14="Премиум",3,2)),FALSE)-VLOOKUP(M46,Параметры!$A$10:$D$12,IF($B$7="Аренда",4,IF($B$14="Премиум",3,2)),FALSE),0))</f>
        <v/>
      </c>
      <c r="T46" s="24" t="n"/>
      <c r="U46" s="24" t="n"/>
      <c r="V46" s="24" t="n"/>
      <c r="W46" s="5" t="n"/>
      <c r="X46" s="20">
        <f>IF($O46="","",(P46*(1+Q46)*(1+R46)+S46)*(1+N(T46))*(1+N(U46))*(1+N(V46)))</f>
        <v/>
      </c>
      <c r="Y46" s="21">
        <f>IF($O46="","",ABS(Q46)+ABS(R46)+ABS(N(T46))+ABS(N(U46))+ABS(N(V46)))</f>
        <v/>
      </c>
      <c r="Z46" s="25">
        <f>IF($O46="","",IF(Y46&gt;Параметры!$B$6,"Нет — корректировки &gt; предела","Да"))</f>
        <v/>
      </c>
      <c r="AA46" s="25">
        <f>IF($O46="","",IF(Z46="Да",IFERROR(VLOOKUP(B46,Параметры!$A$17:$B$19,2,FALSE),0.4)/(Y46+ABS(S46/(P46*(1+Q46)))+0.1),0))</f>
        <v/>
      </c>
      <c r="AB46" s="21">
        <f>IFERROR(AA46/SUM($AA$21:$AA$60),0)</f>
        <v/>
      </c>
      <c r="AC46" s="25">
        <f>IF(Z46="Да",X46,0)</f>
        <v/>
      </c>
      <c r="AD46" s="25">
        <f>IF(Z46="Да",1,0)</f>
        <v/>
      </c>
    </row>
    <row r="47">
      <c r="A47" s="18" t="n">
        <v>27</v>
      </c>
      <c r="B47" s="5" t="n"/>
      <c r="C47" s="5" t="n"/>
      <c r="D47" s="19" t="n"/>
      <c r="E47" s="5" t="n"/>
      <c r="F47" s="5" t="n"/>
      <c r="G47" s="5" t="n"/>
      <c r="H47" s="5" t="n"/>
      <c r="I47" s="5" t="n"/>
      <c r="J47" s="9" t="n"/>
      <c r="K47" s="5" t="n"/>
      <c r="L47" s="5" t="n"/>
      <c r="M47" s="5" t="n"/>
      <c r="N47" s="5" t="n"/>
      <c r="O47" s="12" t="n"/>
      <c r="P47" s="20">
        <f>IF($O47="","",O47/J47)</f>
        <v/>
      </c>
      <c r="Q47" s="21">
        <f>IF($O47="","",IF(E47="Сделка",0,-Параметры!$B$3))</f>
        <v/>
      </c>
      <c r="R47" s="22">
        <f>IF($O47="","",IF(ABS(J47/$B$9-1)&lt;=Параметры!$B$5,0,($B$9/J47)^Параметры!$B$4-1))</f>
        <v/>
      </c>
      <c r="S47" s="23">
        <f>IF($O47="","",IFERROR(VLOOKUP($B$10,Параметры!$A$10:$D$12,IF($B$7="Аренда",4,IF($B$14="Премиум",3,2)),FALSE)-VLOOKUP(M47,Параметры!$A$10:$D$12,IF($B$7="Аренда",4,IF($B$14="Премиум",3,2)),FALSE),0))</f>
        <v/>
      </c>
      <c r="T47" s="24" t="n"/>
      <c r="U47" s="24" t="n"/>
      <c r="V47" s="24" t="n"/>
      <c r="W47" s="5" t="n"/>
      <c r="X47" s="20">
        <f>IF($O47="","",(P47*(1+Q47)*(1+R47)+S47)*(1+N(T47))*(1+N(U47))*(1+N(V47)))</f>
        <v/>
      </c>
      <c r="Y47" s="21">
        <f>IF($O47="","",ABS(Q47)+ABS(R47)+ABS(N(T47))+ABS(N(U47))+ABS(N(V47)))</f>
        <v/>
      </c>
      <c r="Z47" s="25">
        <f>IF($O47="","",IF(Y47&gt;Параметры!$B$6,"Нет — корректировки &gt; предела","Да"))</f>
        <v/>
      </c>
      <c r="AA47" s="25">
        <f>IF($O47="","",IF(Z47="Да",IFERROR(VLOOKUP(B47,Параметры!$A$17:$B$19,2,FALSE),0.4)/(Y47+ABS(S47/(P47*(1+Q47)))+0.1),0))</f>
        <v/>
      </c>
      <c r="AB47" s="21">
        <f>IFERROR(AA47/SUM($AA$21:$AA$60),0)</f>
        <v/>
      </c>
      <c r="AC47" s="25">
        <f>IF(Z47="Да",X47,0)</f>
        <v/>
      </c>
      <c r="AD47" s="25">
        <f>IF(Z47="Да",1,0)</f>
        <v/>
      </c>
    </row>
    <row r="48">
      <c r="A48" s="18" t="n">
        <v>28</v>
      </c>
      <c r="B48" s="5" t="n"/>
      <c r="C48" s="5" t="n"/>
      <c r="D48" s="19" t="n"/>
      <c r="E48" s="5" t="n"/>
      <c r="F48" s="5" t="n"/>
      <c r="G48" s="5" t="n"/>
      <c r="H48" s="5" t="n"/>
      <c r="I48" s="5" t="n"/>
      <c r="J48" s="9" t="n"/>
      <c r="K48" s="5" t="n"/>
      <c r="L48" s="5" t="n"/>
      <c r="M48" s="5" t="n"/>
      <c r="N48" s="5" t="n"/>
      <c r="O48" s="12" t="n"/>
      <c r="P48" s="20">
        <f>IF($O48="","",O48/J48)</f>
        <v/>
      </c>
      <c r="Q48" s="21">
        <f>IF($O48="","",IF(E48="Сделка",0,-Параметры!$B$3))</f>
        <v/>
      </c>
      <c r="R48" s="22">
        <f>IF($O48="","",IF(ABS(J48/$B$9-1)&lt;=Параметры!$B$5,0,($B$9/J48)^Параметры!$B$4-1))</f>
        <v/>
      </c>
      <c r="S48" s="23">
        <f>IF($O48="","",IFERROR(VLOOKUP($B$10,Параметры!$A$10:$D$12,IF($B$7="Аренда",4,IF($B$14="Премиум",3,2)),FALSE)-VLOOKUP(M48,Параметры!$A$10:$D$12,IF($B$7="Аренда",4,IF($B$14="Премиум",3,2)),FALSE),0))</f>
        <v/>
      </c>
      <c r="T48" s="24" t="n"/>
      <c r="U48" s="24" t="n"/>
      <c r="V48" s="24" t="n"/>
      <c r="W48" s="5" t="n"/>
      <c r="X48" s="20">
        <f>IF($O48="","",(P48*(1+Q48)*(1+R48)+S48)*(1+N(T48))*(1+N(U48))*(1+N(V48)))</f>
        <v/>
      </c>
      <c r="Y48" s="21">
        <f>IF($O48="","",ABS(Q48)+ABS(R48)+ABS(N(T48))+ABS(N(U48))+ABS(N(V48)))</f>
        <v/>
      </c>
      <c r="Z48" s="25">
        <f>IF($O48="","",IF(Y48&gt;Параметры!$B$6,"Нет — корректировки &gt; предела","Да"))</f>
        <v/>
      </c>
      <c r="AA48" s="25">
        <f>IF($O48="","",IF(Z48="Да",IFERROR(VLOOKUP(B48,Параметры!$A$17:$B$19,2,FALSE),0.4)/(Y48+ABS(S48/(P48*(1+Q48)))+0.1),0))</f>
        <v/>
      </c>
      <c r="AB48" s="21">
        <f>IFERROR(AA48/SUM($AA$21:$AA$60),0)</f>
        <v/>
      </c>
      <c r="AC48" s="25">
        <f>IF(Z48="Да",X48,0)</f>
        <v/>
      </c>
      <c r="AD48" s="25">
        <f>IF(Z48="Да",1,0)</f>
        <v/>
      </c>
    </row>
    <row r="49">
      <c r="A49" s="18" t="n">
        <v>29</v>
      </c>
      <c r="B49" s="5" t="n"/>
      <c r="C49" s="5" t="n"/>
      <c r="D49" s="19" t="n"/>
      <c r="E49" s="5" t="n"/>
      <c r="F49" s="5" t="n"/>
      <c r="G49" s="5" t="n"/>
      <c r="H49" s="5" t="n"/>
      <c r="I49" s="5" t="n"/>
      <c r="J49" s="9" t="n"/>
      <c r="K49" s="5" t="n"/>
      <c r="L49" s="5" t="n"/>
      <c r="M49" s="5" t="n"/>
      <c r="N49" s="5" t="n"/>
      <c r="O49" s="12" t="n"/>
      <c r="P49" s="20">
        <f>IF($O49="","",O49/J49)</f>
        <v/>
      </c>
      <c r="Q49" s="21">
        <f>IF($O49="","",IF(E49="Сделка",0,-Параметры!$B$3))</f>
        <v/>
      </c>
      <c r="R49" s="22">
        <f>IF($O49="","",IF(ABS(J49/$B$9-1)&lt;=Параметры!$B$5,0,($B$9/J49)^Параметры!$B$4-1))</f>
        <v/>
      </c>
      <c r="S49" s="23">
        <f>IF($O49="","",IFERROR(VLOOKUP($B$10,Параметры!$A$10:$D$12,IF($B$7="Аренда",4,IF($B$14="Премиум",3,2)),FALSE)-VLOOKUP(M49,Параметры!$A$10:$D$12,IF($B$7="Аренда",4,IF($B$14="Премиум",3,2)),FALSE),0))</f>
        <v/>
      </c>
      <c r="T49" s="24" t="n"/>
      <c r="U49" s="24" t="n"/>
      <c r="V49" s="24" t="n"/>
      <c r="W49" s="5" t="n"/>
      <c r="X49" s="20">
        <f>IF($O49="","",(P49*(1+Q49)*(1+R49)+S49)*(1+N(T49))*(1+N(U49))*(1+N(V49)))</f>
        <v/>
      </c>
      <c r="Y49" s="21">
        <f>IF($O49="","",ABS(Q49)+ABS(R49)+ABS(N(T49))+ABS(N(U49))+ABS(N(V49)))</f>
        <v/>
      </c>
      <c r="Z49" s="25">
        <f>IF($O49="","",IF(Y49&gt;Параметры!$B$6,"Нет — корректировки &gt; предела","Да"))</f>
        <v/>
      </c>
      <c r="AA49" s="25">
        <f>IF($O49="","",IF(Z49="Да",IFERROR(VLOOKUP(B49,Параметры!$A$17:$B$19,2,FALSE),0.4)/(Y49+ABS(S49/(P49*(1+Q49)))+0.1),0))</f>
        <v/>
      </c>
      <c r="AB49" s="21">
        <f>IFERROR(AA49/SUM($AA$21:$AA$60),0)</f>
        <v/>
      </c>
      <c r="AC49" s="25">
        <f>IF(Z49="Да",X49,0)</f>
        <v/>
      </c>
      <c r="AD49" s="25">
        <f>IF(Z49="Да",1,0)</f>
        <v/>
      </c>
    </row>
    <row r="50">
      <c r="A50" s="18" t="n">
        <v>30</v>
      </c>
      <c r="B50" s="5" t="n"/>
      <c r="C50" s="5" t="n"/>
      <c r="D50" s="19" t="n"/>
      <c r="E50" s="5" t="n"/>
      <c r="F50" s="5" t="n"/>
      <c r="G50" s="5" t="n"/>
      <c r="H50" s="5" t="n"/>
      <c r="I50" s="5" t="n"/>
      <c r="J50" s="9" t="n"/>
      <c r="K50" s="5" t="n"/>
      <c r="L50" s="5" t="n"/>
      <c r="M50" s="5" t="n"/>
      <c r="N50" s="5" t="n"/>
      <c r="O50" s="12" t="n"/>
      <c r="P50" s="20">
        <f>IF($O50="","",O50/J50)</f>
        <v/>
      </c>
      <c r="Q50" s="21">
        <f>IF($O50="","",IF(E50="Сделка",0,-Параметры!$B$3))</f>
        <v/>
      </c>
      <c r="R50" s="22">
        <f>IF($O50="","",IF(ABS(J50/$B$9-1)&lt;=Параметры!$B$5,0,($B$9/J50)^Параметры!$B$4-1))</f>
        <v/>
      </c>
      <c r="S50" s="23">
        <f>IF($O50="","",IFERROR(VLOOKUP($B$10,Параметры!$A$10:$D$12,IF($B$7="Аренда",4,IF($B$14="Премиум",3,2)),FALSE)-VLOOKUP(M50,Параметры!$A$10:$D$12,IF($B$7="Аренда",4,IF($B$14="Премиум",3,2)),FALSE),0))</f>
        <v/>
      </c>
      <c r="T50" s="24" t="n"/>
      <c r="U50" s="24" t="n"/>
      <c r="V50" s="24" t="n"/>
      <c r="W50" s="5" t="n"/>
      <c r="X50" s="20">
        <f>IF($O50="","",(P50*(1+Q50)*(1+R50)+S50)*(1+N(T50))*(1+N(U50))*(1+N(V50)))</f>
        <v/>
      </c>
      <c r="Y50" s="21">
        <f>IF($O50="","",ABS(Q50)+ABS(R50)+ABS(N(T50))+ABS(N(U50))+ABS(N(V50)))</f>
        <v/>
      </c>
      <c r="Z50" s="25">
        <f>IF($O50="","",IF(Y50&gt;Параметры!$B$6,"Нет — корректировки &gt; предела","Да"))</f>
        <v/>
      </c>
      <c r="AA50" s="25">
        <f>IF($O50="","",IF(Z50="Да",IFERROR(VLOOKUP(B50,Параметры!$A$17:$B$19,2,FALSE),0.4)/(Y50+ABS(S50/(P50*(1+Q50)))+0.1),0))</f>
        <v/>
      </c>
      <c r="AB50" s="21">
        <f>IFERROR(AA50/SUM($AA$21:$AA$60),0)</f>
        <v/>
      </c>
      <c r="AC50" s="25">
        <f>IF(Z50="Да",X50,0)</f>
        <v/>
      </c>
      <c r="AD50" s="25">
        <f>IF(Z50="Да",1,0)</f>
        <v/>
      </c>
    </row>
    <row r="51">
      <c r="A51" s="18" t="n">
        <v>31</v>
      </c>
      <c r="B51" s="5" t="n"/>
      <c r="C51" s="5" t="n"/>
      <c r="D51" s="19" t="n"/>
      <c r="E51" s="5" t="n"/>
      <c r="F51" s="5" t="n"/>
      <c r="G51" s="5" t="n"/>
      <c r="H51" s="5" t="n"/>
      <c r="I51" s="5" t="n"/>
      <c r="J51" s="9" t="n"/>
      <c r="K51" s="5" t="n"/>
      <c r="L51" s="5" t="n"/>
      <c r="M51" s="5" t="n"/>
      <c r="N51" s="5" t="n"/>
      <c r="O51" s="12" t="n"/>
      <c r="P51" s="20">
        <f>IF($O51="","",O51/J51)</f>
        <v/>
      </c>
      <c r="Q51" s="21">
        <f>IF($O51="","",IF(E51="Сделка",0,-Параметры!$B$3))</f>
        <v/>
      </c>
      <c r="R51" s="22">
        <f>IF($O51="","",IF(ABS(J51/$B$9-1)&lt;=Параметры!$B$5,0,($B$9/J51)^Параметры!$B$4-1))</f>
        <v/>
      </c>
      <c r="S51" s="23">
        <f>IF($O51="","",IFERROR(VLOOKUP($B$10,Параметры!$A$10:$D$12,IF($B$7="Аренда",4,IF($B$14="Премиум",3,2)),FALSE)-VLOOKUP(M51,Параметры!$A$10:$D$12,IF($B$7="Аренда",4,IF($B$14="Премиум",3,2)),FALSE),0))</f>
        <v/>
      </c>
      <c r="T51" s="24" t="n"/>
      <c r="U51" s="24" t="n"/>
      <c r="V51" s="24" t="n"/>
      <c r="W51" s="5" t="n"/>
      <c r="X51" s="20">
        <f>IF($O51="","",(P51*(1+Q51)*(1+R51)+S51)*(1+N(T51))*(1+N(U51))*(1+N(V51)))</f>
        <v/>
      </c>
      <c r="Y51" s="21">
        <f>IF($O51="","",ABS(Q51)+ABS(R51)+ABS(N(T51))+ABS(N(U51))+ABS(N(V51)))</f>
        <v/>
      </c>
      <c r="Z51" s="25">
        <f>IF($O51="","",IF(Y51&gt;Параметры!$B$6,"Нет — корректировки &gt; предела","Да"))</f>
        <v/>
      </c>
      <c r="AA51" s="25">
        <f>IF($O51="","",IF(Z51="Да",IFERROR(VLOOKUP(B51,Параметры!$A$17:$B$19,2,FALSE),0.4)/(Y51+ABS(S51/(P51*(1+Q51)))+0.1),0))</f>
        <v/>
      </c>
      <c r="AB51" s="21">
        <f>IFERROR(AA51/SUM($AA$21:$AA$60),0)</f>
        <v/>
      </c>
      <c r="AC51" s="25">
        <f>IF(Z51="Да",X51,0)</f>
        <v/>
      </c>
      <c r="AD51" s="25">
        <f>IF(Z51="Да",1,0)</f>
        <v/>
      </c>
    </row>
    <row r="52">
      <c r="A52" s="18" t="n">
        <v>32</v>
      </c>
      <c r="B52" s="5" t="n"/>
      <c r="C52" s="5" t="n"/>
      <c r="D52" s="19" t="n"/>
      <c r="E52" s="5" t="n"/>
      <c r="F52" s="5" t="n"/>
      <c r="G52" s="5" t="n"/>
      <c r="H52" s="5" t="n"/>
      <c r="I52" s="5" t="n"/>
      <c r="J52" s="9" t="n"/>
      <c r="K52" s="5" t="n"/>
      <c r="L52" s="5" t="n"/>
      <c r="M52" s="5" t="n"/>
      <c r="N52" s="5" t="n"/>
      <c r="O52" s="12" t="n"/>
      <c r="P52" s="20">
        <f>IF($O52="","",O52/J52)</f>
        <v/>
      </c>
      <c r="Q52" s="21">
        <f>IF($O52="","",IF(E52="Сделка",0,-Параметры!$B$3))</f>
        <v/>
      </c>
      <c r="R52" s="22">
        <f>IF($O52="","",IF(ABS(J52/$B$9-1)&lt;=Параметры!$B$5,0,($B$9/J52)^Параметры!$B$4-1))</f>
        <v/>
      </c>
      <c r="S52" s="23">
        <f>IF($O52="","",IFERROR(VLOOKUP($B$10,Параметры!$A$10:$D$12,IF($B$7="Аренда",4,IF($B$14="Премиум",3,2)),FALSE)-VLOOKUP(M52,Параметры!$A$10:$D$12,IF($B$7="Аренда",4,IF($B$14="Премиум",3,2)),FALSE),0))</f>
        <v/>
      </c>
      <c r="T52" s="24" t="n"/>
      <c r="U52" s="24" t="n"/>
      <c r="V52" s="24" t="n"/>
      <c r="W52" s="5" t="n"/>
      <c r="X52" s="20">
        <f>IF($O52="","",(P52*(1+Q52)*(1+R52)+S52)*(1+N(T52))*(1+N(U52))*(1+N(V52)))</f>
        <v/>
      </c>
      <c r="Y52" s="21">
        <f>IF($O52="","",ABS(Q52)+ABS(R52)+ABS(N(T52))+ABS(N(U52))+ABS(N(V52)))</f>
        <v/>
      </c>
      <c r="Z52" s="25">
        <f>IF($O52="","",IF(Y52&gt;Параметры!$B$6,"Нет — корректировки &gt; предела","Да"))</f>
        <v/>
      </c>
      <c r="AA52" s="25">
        <f>IF($O52="","",IF(Z52="Да",IFERROR(VLOOKUP(B52,Параметры!$A$17:$B$19,2,FALSE),0.4)/(Y52+ABS(S52/(P52*(1+Q52)))+0.1),0))</f>
        <v/>
      </c>
      <c r="AB52" s="21">
        <f>IFERROR(AA52/SUM($AA$21:$AA$60),0)</f>
        <v/>
      </c>
      <c r="AC52" s="25">
        <f>IF(Z52="Да",X52,0)</f>
        <v/>
      </c>
      <c r="AD52" s="25">
        <f>IF(Z52="Да",1,0)</f>
        <v/>
      </c>
    </row>
    <row r="53">
      <c r="A53" s="18" t="n">
        <v>33</v>
      </c>
      <c r="B53" s="5" t="n"/>
      <c r="C53" s="5" t="n"/>
      <c r="D53" s="19" t="n"/>
      <c r="E53" s="5" t="n"/>
      <c r="F53" s="5" t="n"/>
      <c r="G53" s="5" t="n"/>
      <c r="H53" s="5" t="n"/>
      <c r="I53" s="5" t="n"/>
      <c r="J53" s="9" t="n"/>
      <c r="K53" s="5" t="n"/>
      <c r="L53" s="5" t="n"/>
      <c r="M53" s="5" t="n"/>
      <c r="N53" s="5" t="n"/>
      <c r="O53" s="12" t="n"/>
      <c r="P53" s="20">
        <f>IF($O53="","",O53/J53)</f>
        <v/>
      </c>
      <c r="Q53" s="21">
        <f>IF($O53="","",IF(E53="Сделка",0,-Параметры!$B$3))</f>
        <v/>
      </c>
      <c r="R53" s="22">
        <f>IF($O53="","",IF(ABS(J53/$B$9-1)&lt;=Параметры!$B$5,0,($B$9/J53)^Параметры!$B$4-1))</f>
        <v/>
      </c>
      <c r="S53" s="23">
        <f>IF($O53="","",IFERROR(VLOOKUP($B$10,Параметры!$A$10:$D$12,IF($B$7="Аренда",4,IF($B$14="Премиум",3,2)),FALSE)-VLOOKUP(M53,Параметры!$A$10:$D$12,IF($B$7="Аренда",4,IF($B$14="Премиум",3,2)),FALSE),0))</f>
        <v/>
      </c>
      <c r="T53" s="24" t="n"/>
      <c r="U53" s="24" t="n"/>
      <c r="V53" s="24" t="n"/>
      <c r="W53" s="5" t="n"/>
      <c r="X53" s="20">
        <f>IF($O53="","",(P53*(1+Q53)*(1+R53)+S53)*(1+N(T53))*(1+N(U53))*(1+N(V53)))</f>
        <v/>
      </c>
      <c r="Y53" s="21">
        <f>IF($O53="","",ABS(Q53)+ABS(R53)+ABS(N(T53))+ABS(N(U53))+ABS(N(V53)))</f>
        <v/>
      </c>
      <c r="Z53" s="25">
        <f>IF($O53="","",IF(Y53&gt;Параметры!$B$6,"Нет — корректировки &gt; предела","Да"))</f>
        <v/>
      </c>
      <c r="AA53" s="25">
        <f>IF($O53="","",IF(Z53="Да",IFERROR(VLOOKUP(B53,Параметры!$A$17:$B$19,2,FALSE),0.4)/(Y53+ABS(S53/(P53*(1+Q53)))+0.1),0))</f>
        <v/>
      </c>
      <c r="AB53" s="21">
        <f>IFERROR(AA53/SUM($AA$21:$AA$60),0)</f>
        <v/>
      </c>
      <c r="AC53" s="25">
        <f>IF(Z53="Да",X53,0)</f>
        <v/>
      </c>
      <c r="AD53" s="25">
        <f>IF(Z53="Да",1,0)</f>
        <v/>
      </c>
    </row>
    <row r="54">
      <c r="A54" s="18" t="n">
        <v>34</v>
      </c>
      <c r="B54" s="5" t="n"/>
      <c r="C54" s="5" t="n"/>
      <c r="D54" s="19" t="n"/>
      <c r="E54" s="5" t="n"/>
      <c r="F54" s="5" t="n"/>
      <c r="G54" s="5" t="n"/>
      <c r="H54" s="5" t="n"/>
      <c r="I54" s="5" t="n"/>
      <c r="J54" s="9" t="n"/>
      <c r="K54" s="5" t="n"/>
      <c r="L54" s="5" t="n"/>
      <c r="M54" s="5" t="n"/>
      <c r="N54" s="5" t="n"/>
      <c r="O54" s="12" t="n"/>
      <c r="P54" s="20">
        <f>IF($O54="","",O54/J54)</f>
        <v/>
      </c>
      <c r="Q54" s="21">
        <f>IF($O54="","",IF(E54="Сделка",0,-Параметры!$B$3))</f>
        <v/>
      </c>
      <c r="R54" s="22">
        <f>IF($O54="","",IF(ABS(J54/$B$9-1)&lt;=Параметры!$B$5,0,($B$9/J54)^Параметры!$B$4-1))</f>
        <v/>
      </c>
      <c r="S54" s="23">
        <f>IF($O54="","",IFERROR(VLOOKUP($B$10,Параметры!$A$10:$D$12,IF($B$7="Аренда",4,IF($B$14="Премиум",3,2)),FALSE)-VLOOKUP(M54,Параметры!$A$10:$D$12,IF($B$7="Аренда",4,IF($B$14="Премиум",3,2)),FALSE),0))</f>
        <v/>
      </c>
      <c r="T54" s="24" t="n"/>
      <c r="U54" s="24" t="n"/>
      <c r="V54" s="24" t="n"/>
      <c r="W54" s="5" t="n"/>
      <c r="X54" s="20">
        <f>IF($O54="","",(P54*(1+Q54)*(1+R54)+S54)*(1+N(T54))*(1+N(U54))*(1+N(V54)))</f>
        <v/>
      </c>
      <c r="Y54" s="21">
        <f>IF($O54="","",ABS(Q54)+ABS(R54)+ABS(N(T54))+ABS(N(U54))+ABS(N(V54)))</f>
        <v/>
      </c>
      <c r="Z54" s="25">
        <f>IF($O54="","",IF(Y54&gt;Параметры!$B$6,"Нет — корректировки &gt; предела","Да"))</f>
        <v/>
      </c>
      <c r="AA54" s="25">
        <f>IF($O54="","",IF(Z54="Да",IFERROR(VLOOKUP(B54,Параметры!$A$17:$B$19,2,FALSE),0.4)/(Y54+ABS(S54/(P54*(1+Q54)))+0.1),0))</f>
        <v/>
      </c>
      <c r="AB54" s="21">
        <f>IFERROR(AA54/SUM($AA$21:$AA$60),0)</f>
        <v/>
      </c>
      <c r="AC54" s="25">
        <f>IF(Z54="Да",X54,0)</f>
        <v/>
      </c>
      <c r="AD54" s="25">
        <f>IF(Z54="Да",1,0)</f>
        <v/>
      </c>
    </row>
    <row r="55">
      <c r="A55" s="18" t="n">
        <v>35</v>
      </c>
      <c r="B55" s="5" t="n"/>
      <c r="C55" s="5" t="n"/>
      <c r="D55" s="19" t="n"/>
      <c r="E55" s="5" t="n"/>
      <c r="F55" s="5" t="n"/>
      <c r="G55" s="5" t="n"/>
      <c r="H55" s="5" t="n"/>
      <c r="I55" s="5" t="n"/>
      <c r="J55" s="9" t="n"/>
      <c r="K55" s="5" t="n"/>
      <c r="L55" s="5" t="n"/>
      <c r="M55" s="5" t="n"/>
      <c r="N55" s="5" t="n"/>
      <c r="O55" s="12" t="n"/>
      <c r="P55" s="20">
        <f>IF($O55="","",O55/J55)</f>
        <v/>
      </c>
      <c r="Q55" s="21">
        <f>IF($O55="","",IF(E55="Сделка",0,-Параметры!$B$3))</f>
        <v/>
      </c>
      <c r="R55" s="22">
        <f>IF($O55="","",IF(ABS(J55/$B$9-1)&lt;=Параметры!$B$5,0,($B$9/J55)^Параметры!$B$4-1))</f>
        <v/>
      </c>
      <c r="S55" s="23">
        <f>IF($O55="","",IFERROR(VLOOKUP($B$10,Параметры!$A$10:$D$12,IF($B$7="Аренда",4,IF($B$14="Премиум",3,2)),FALSE)-VLOOKUP(M55,Параметры!$A$10:$D$12,IF($B$7="Аренда",4,IF($B$14="Премиум",3,2)),FALSE),0))</f>
        <v/>
      </c>
      <c r="T55" s="24" t="n"/>
      <c r="U55" s="24" t="n"/>
      <c r="V55" s="24" t="n"/>
      <c r="W55" s="5" t="n"/>
      <c r="X55" s="20">
        <f>IF($O55="","",(P55*(1+Q55)*(1+R55)+S55)*(1+N(T55))*(1+N(U55))*(1+N(V55)))</f>
        <v/>
      </c>
      <c r="Y55" s="21">
        <f>IF($O55="","",ABS(Q55)+ABS(R55)+ABS(N(T55))+ABS(N(U55))+ABS(N(V55)))</f>
        <v/>
      </c>
      <c r="Z55" s="25">
        <f>IF($O55="","",IF(Y55&gt;Параметры!$B$6,"Нет — корректировки &gt; предела","Да"))</f>
        <v/>
      </c>
      <c r="AA55" s="25">
        <f>IF($O55="","",IF(Z55="Да",IFERROR(VLOOKUP(B55,Параметры!$A$17:$B$19,2,FALSE),0.4)/(Y55+ABS(S55/(P55*(1+Q55)))+0.1),0))</f>
        <v/>
      </c>
      <c r="AB55" s="21">
        <f>IFERROR(AA55/SUM($AA$21:$AA$60),0)</f>
        <v/>
      </c>
      <c r="AC55" s="25">
        <f>IF(Z55="Да",X55,0)</f>
        <v/>
      </c>
      <c r="AD55" s="25">
        <f>IF(Z55="Да",1,0)</f>
        <v/>
      </c>
    </row>
    <row r="56">
      <c r="A56" s="18" t="n">
        <v>36</v>
      </c>
      <c r="B56" s="5" t="n"/>
      <c r="C56" s="5" t="n"/>
      <c r="D56" s="19" t="n"/>
      <c r="E56" s="5" t="n"/>
      <c r="F56" s="5" t="n"/>
      <c r="G56" s="5" t="n"/>
      <c r="H56" s="5" t="n"/>
      <c r="I56" s="5" t="n"/>
      <c r="J56" s="9" t="n"/>
      <c r="K56" s="5" t="n"/>
      <c r="L56" s="5" t="n"/>
      <c r="M56" s="5" t="n"/>
      <c r="N56" s="5" t="n"/>
      <c r="O56" s="12" t="n"/>
      <c r="P56" s="20">
        <f>IF($O56="","",O56/J56)</f>
        <v/>
      </c>
      <c r="Q56" s="21">
        <f>IF($O56="","",IF(E56="Сделка",0,-Параметры!$B$3))</f>
        <v/>
      </c>
      <c r="R56" s="22">
        <f>IF($O56="","",IF(ABS(J56/$B$9-1)&lt;=Параметры!$B$5,0,($B$9/J56)^Параметры!$B$4-1))</f>
        <v/>
      </c>
      <c r="S56" s="23">
        <f>IF($O56="","",IFERROR(VLOOKUP($B$10,Параметры!$A$10:$D$12,IF($B$7="Аренда",4,IF($B$14="Премиум",3,2)),FALSE)-VLOOKUP(M56,Параметры!$A$10:$D$12,IF($B$7="Аренда",4,IF($B$14="Премиум",3,2)),FALSE),0))</f>
        <v/>
      </c>
      <c r="T56" s="24" t="n"/>
      <c r="U56" s="24" t="n"/>
      <c r="V56" s="24" t="n"/>
      <c r="W56" s="5" t="n"/>
      <c r="X56" s="20">
        <f>IF($O56="","",(P56*(1+Q56)*(1+R56)+S56)*(1+N(T56))*(1+N(U56))*(1+N(V56)))</f>
        <v/>
      </c>
      <c r="Y56" s="21">
        <f>IF($O56="","",ABS(Q56)+ABS(R56)+ABS(N(T56))+ABS(N(U56))+ABS(N(V56)))</f>
        <v/>
      </c>
      <c r="Z56" s="25">
        <f>IF($O56="","",IF(Y56&gt;Параметры!$B$6,"Нет — корректировки &gt; предела","Да"))</f>
        <v/>
      </c>
      <c r="AA56" s="25">
        <f>IF($O56="","",IF(Z56="Да",IFERROR(VLOOKUP(B56,Параметры!$A$17:$B$19,2,FALSE),0.4)/(Y56+ABS(S56/(P56*(1+Q56)))+0.1),0))</f>
        <v/>
      </c>
      <c r="AB56" s="21">
        <f>IFERROR(AA56/SUM($AA$21:$AA$60),0)</f>
        <v/>
      </c>
      <c r="AC56" s="25">
        <f>IF(Z56="Да",X56,0)</f>
        <v/>
      </c>
      <c r="AD56" s="25">
        <f>IF(Z56="Да",1,0)</f>
        <v/>
      </c>
    </row>
    <row r="57">
      <c r="A57" s="18" t="n">
        <v>37</v>
      </c>
      <c r="B57" s="5" t="n"/>
      <c r="C57" s="5" t="n"/>
      <c r="D57" s="19" t="n"/>
      <c r="E57" s="5" t="n"/>
      <c r="F57" s="5" t="n"/>
      <c r="G57" s="5" t="n"/>
      <c r="H57" s="5" t="n"/>
      <c r="I57" s="5" t="n"/>
      <c r="J57" s="9" t="n"/>
      <c r="K57" s="5" t="n"/>
      <c r="L57" s="5" t="n"/>
      <c r="M57" s="5" t="n"/>
      <c r="N57" s="5" t="n"/>
      <c r="O57" s="12" t="n"/>
      <c r="P57" s="20">
        <f>IF($O57="","",O57/J57)</f>
        <v/>
      </c>
      <c r="Q57" s="21">
        <f>IF($O57="","",IF(E57="Сделка",0,-Параметры!$B$3))</f>
        <v/>
      </c>
      <c r="R57" s="22">
        <f>IF($O57="","",IF(ABS(J57/$B$9-1)&lt;=Параметры!$B$5,0,($B$9/J57)^Параметры!$B$4-1))</f>
        <v/>
      </c>
      <c r="S57" s="23">
        <f>IF($O57="","",IFERROR(VLOOKUP($B$10,Параметры!$A$10:$D$12,IF($B$7="Аренда",4,IF($B$14="Премиум",3,2)),FALSE)-VLOOKUP(M57,Параметры!$A$10:$D$12,IF($B$7="Аренда",4,IF($B$14="Премиум",3,2)),FALSE),0))</f>
        <v/>
      </c>
      <c r="T57" s="24" t="n"/>
      <c r="U57" s="24" t="n"/>
      <c r="V57" s="24" t="n"/>
      <c r="W57" s="5" t="n"/>
      <c r="X57" s="20">
        <f>IF($O57="","",(P57*(1+Q57)*(1+R57)+S57)*(1+N(T57))*(1+N(U57))*(1+N(V57)))</f>
        <v/>
      </c>
      <c r="Y57" s="21">
        <f>IF($O57="","",ABS(Q57)+ABS(R57)+ABS(N(T57))+ABS(N(U57))+ABS(N(V57)))</f>
        <v/>
      </c>
      <c r="Z57" s="25">
        <f>IF($O57="","",IF(Y57&gt;Параметры!$B$6,"Нет — корректировки &gt; предела","Да"))</f>
        <v/>
      </c>
      <c r="AA57" s="25">
        <f>IF($O57="","",IF(Z57="Да",IFERROR(VLOOKUP(B57,Параметры!$A$17:$B$19,2,FALSE),0.4)/(Y57+ABS(S57/(P57*(1+Q57)))+0.1),0))</f>
        <v/>
      </c>
      <c r="AB57" s="21">
        <f>IFERROR(AA57/SUM($AA$21:$AA$60),0)</f>
        <v/>
      </c>
      <c r="AC57" s="25">
        <f>IF(Z57="Да",X57,0)</f>
        <v/>
      </c>
      <c r="AD57" s="25">
        <f>IF(Z57="Да",1,0)</f>
        <v/>
      </c>
    </row>
    <row r="58">
      <c r="A58" s="18" t="n">
        <v>38</v>
      </c>
      <c r="B58" s="5" t="n"/>
      <c r="C58" s="5" t="n"/>
      <c r="D58" s="19" t="n"/>
      <c r="E58" s="5" t="n"/>
      <c r="F58" s="5" t="n"/>
      <c r="G58" s="5" t="n"/>
      <c r="H58" s="5" t="n"/>
      <c r="I58" s="5" t="n"/>
      <c r="J58" s="9" t="n"/>
      <c r="K58" s="5" t="n"/>
      <c r="L58" s="5" t="n"/>
      <c r="M58" s="5" t="n"/>
      <c r="N58" s="5" t="n"/>
      <c r="O58" s="12" t="n"/>
      <c r="P58" s="20">
        <f>IF($O58="","",O58/J58)</f>
        <v/>
      </c>
      <c r="Q58" s="21">
        <f>IF($O58="","",IF(E58="Сделка",0,-Параметры!$B$3))</f>
        <v/>
      </c>
      <c r="R58" s="22">
        <f>IF($O58="","",IF(ABS(J58/$B$9-1)&lt;=Параметры!$B$5,0,($B$9/J58)^Параметры!$B$4-1))</f>
        <v/>
      </c>
      <c r="S58" s="23">
        <f>IF($O58="","",IFERROR(VLOOKUP($B$10,Параметры!$A$10:$D$12,IF($B$7="Аренда",4,IF($B$14="Премиум",3,2)),FALSE)-VLOOKUP(M58,Параметры!$A$10:$D$12,IF($B$7="Аренда",4,IF($B$14="Премиум",3,2)),FALSE),0))</f>
        <v/>
      </c>
      <c r="T58" s="24" t="n"/>
      <c r="U58" s="24" t="n"/>
      <c r="V58" s="24" t="n"/>
      <c r="W58" s="5" t="n"/>
      <c r="X58" s="20">
        <f>IF($O58="","",(P58*(1+Q58)*(1+R58)+S58)*(1+N(T58))*(1+N(U58))*(1+N(V58)))</f>
        <v/>
      </c>
      <c r="Y58" s="21">
        <f>IF($O58="","",ABS(Q58)+ABS(R58)+ABS(N(T58))+ABS(N(U58))+ABS(N(V58)))</f>
        <v/>
      </c>
      <c r="Z58" s="25">
        <f>IF($O58="","",IF(Y58&gt;Параметры!$B$6,"Нет — корректировки &gt; предела","Да"))</f>
        <v/>
      </c>
      <c r="AA58" s="25">
        <f>IF($O58="","",IF(Z58="Да",IFERROR(VLOOKUP(B58,Параметры!$A$17:$B$19,2,FALSE),0.4)/(Y58+ABS(S58/(P58*(1+Q58)))+0.1),0))</f>
        <v/>
      </c>
      <c r="AB58" s="21">
        <f>IFERROR(AA58/SUM($AA$21:$AA$60),0)</f>
        <v/>
      </c>
      <c r="AC58" s="25">
        <f>IF(Z58="Да",X58,0)</f>
        <v/>
      </c>
      <c r="AD58" s="25">
        <f>IF(Z58="Да",1,0)</f>
        <v/>
      </c>
    </row>
    <row r="59">
      <c r="A59" s="18" t="n">
        <v>39</v>
      </c>
      <c r="B59" s="5" t="n"/>
      <c r="C59" s="5" t="n"/>
      <c r="D59" s="19" t="n"/>
      <c r="E59" s="5" t="n"/>
      <c r="F59" s="5" t="n"/>
      <c r="G59" s="5" t="n"/>
      <c r="H59" s="5" t="n"/>
      <c r="I59" s="5" t="n"/>
      <c r="J59" s="9" t="n"/>
      <c r="K59" s="5" t="n"/>
      <c r="L59" s="5" t="n"/>
      <c r="M59" s="5" t="n"/>
      <c r="N59" s="5" t="n"/>
      <c r="O59" s="12" t="n"/>
      <c r="P59" s="20">
        <f>IF($O59="","",O59/J59)</f>
        <v/>
      </c>
      <c r="Q59" s="21">
        <f>IF($O59="","",IF(E59="Сделка",0,-Параметры!$B$3))</f>
        <v/>
      </c>
      <c r="R59" s="22">
        <f>IF($O59="","",IF(ABS(J59/$B$9-1)&lt;=Параметры!$B$5,0,($B$9/J59)^Параметры!$B$4-1))</f>
        <v/>
      </c>
      <c r="S59" s="23">
        <f>IF($O59="","",IFERROR(VLOOKUP($B$10,Параметры!$A$10:$D$12,IF($B$7="Аренда",4,IF($B$14="Премиум",3,2)),FALSE)-VLOOKUP(M59,Параметры!$A$10:$D$12,IF($B$7="Аренда",4,IF($B$14="Премиум",3,2)),FALSE),0))</f>
        <v/>
      </c>
      <c r="T59" s="24" t="n"/>
      <c r="U59" s="24" t="n"/>
      <c r="V59" s="24" t="n"/>
      <c r="W59" s="5" t="n"/>
      <c r="X59" s="20">
        <f>IF($O59="","",(P59*(1+Q59)*(1+R59)+S59)*(1+N(T59))*(1+N(U59))*(1+N(V59)))</f>
        <v/>
      </c>
      <c r="Y59" s="21">
        <f>IF($O59="","",ABS(Q59)+ABS(R59)+ABS(N(T59))+ABS(N(U59))+ABS(N(V59)))</f>
        <v/>
      </c>
      <c r="Z59" s="25">
        <f>IF($O59="","",IF(Y59&gt;Параметры!$B$6,"Нет — корректировки &gt; предела","Да"))</f>
        <v/>
      </c>
      <c r="AA59" s="25">
        <f>IF($O59="","",IF(Z59="Да",IFERROR(VLOOKUP(B59,Параметры!$A$17:$B$19,2,FALSE),0.4)/(Y59+ABS(S59/(P59*(1+Q59)))+0.1),0))</f>
        <v/>
      </c>
      <c r="AB59" s="21">
        <f>IFERROR(AA59/SUM($AA$21:$AA$60),0)</f>
        <v/>
      </c>
      <c r="AC59" s="25">
        <f>IF(Z59="Да",X59,0)</f>
        <v/>
      </c>
      <c r="AD59" s="25">
        <f>IF(Z59="Да",1,0)</f>
        <v/>
      </c>
    </row>
    <row r="60">
      <c r="A60" s="18" t="n">
        <v>40</v>
      </c>
      <c r="B60" s="5" t="n"/>
      <c r="C60" s="5" t="n"/>
      <c r="D60" s="19" t="n"/>
      <c r="E60" s="5" t="n"/>
      <c r="F60" s="5" t="n"/>
      <c r="G60" s="5" t="n"/>
      <c r="H60" s="5" t="n"/>
      <c r="I60" s="5" t="n"/>
      <c r="J60" s="9" t="n"/>
      <c r="K60" s="5" t="n"/>
      <c r="L60" s="5" t="n"/>
      <c r="M60" s="5" t="n"/>
      <c r="N60" s="5" t="n"/>
      <c r="O60" s="12" t="n"/>
      <c r="P60" s="20">
        <f>IF($O60="","",O60/J60)</f>
        <v/>
      </c>
      <c r="Q60" s="21">
        <f>IF($O60="","",IF(E60="Сделка",0,-Параметры!$B$3))</f>
        <v/>
      </c>
      <c r="R60" s="22">
        <f>IF($O60="","",IF(ABS(J60/$B$9-1)&lt;=Параметры!$B$5,0,($B$9/J60)^Параметры!$B$4-1))</f>
        <v/>
      </c>
      <c r="S60" s="23">
        <f>IF($O60="","",IFERROR(VLOOKUP($B$10,Параметры!$A$10:$D$12,IF($B$7="Аренда",4,IF($B$14="Премиум",3,2)),FALSE)-VLOOKUP(M60,Параметры!$A$10:$D$12,IF($B$7="Аренда",4,IF($B$14="Премиум",3,2)),FALSE),0))</f>
        <v/>
      </c>
      <c r="T60" s="24" t="n"/>
      <c r="U60" s="24" t="n"/>
      <c r="V60" s="24" t="n"/>
      <c r="W60" s="5" t="n"/>
      <c r="X60" s="20">
        <f>IF($O60="","",(P60*(1+Q60)*(1+R60)+S60)*(1+N(T60))*(1+N(U60))*(1+N(V60)))</f>
        <v/>
      </c>
      <c r="Y60" s="21">
        <f>IF($O60="","",ABS(Q60)+ABS(R60)+ABS(N(T60))+ABS(N(U60))+ABS(N(V60)))</f>
        <v/>
      </c>
      <c r="Z60" s="25">
        <f>IF($O60="","",IF(Y60&gt;Параметры!$B$6,"Нет — корректировки &gt; предела","Да"))</f>
        <v/>
      </c>
      <c r="AA60" s="25">
        <f>IF($O60="","",IF(Z60="Да",IFERROR(VLOOKUP(B60,Параметры!$A$17:$B$19,2,FALSE),0.4)/(Y60+ABS(S60/(P60*(1+Q60)))+0.1),0))</f>
        <v/>
      </c>
      <c r="AB60" s="21">
        <f>IFERROR(AA60/SUM($AA$21:$AA$60),0)</f>
        <v/>
      </c>
      <c r="AC60" s="25">
        <f>IF(Z60="Да",X60,0)</f>
        <v/>
      </c>
      <c r="AD60" s="25">
        <f>IF(Z60="Да",1,0)</f>
        <v/>
      </c>
    </row>
  </sheetData>
  <mergeCells count="4">
    <mergeCell ref="A4:B4"/>
    <mergeCell ref="A2:N2"/>
    <mergeCell ref="E13:N13"/>
    <mergeCell ref="D4:G4"/>
  </mergeCells>
  <dataValidations count="6">
    <dataValidation sqref="B21:B60" showDropDown="0" showInputMessage="0" showErrorMessage="0" allowBlank="1" type="list">
      <formula1>"1,2,3"</formula1>
    </dataValidation>
    <dataValidation sqref="E21:E60" showDropDown="0" showInputMessage="0" showErrorMessage="0" allowBlank="1" type="list">
      <formula1>"Активно,Снято,Сделка"</formula1>
    </dataValidation>
    <dataValidation sqref="M21:M60" showDropDown="0" showInputMessage="0" showErrorMessage="0" allowBlank="1" type="list">
      <formula1>Параметры!$A$10:$A$12</formula1>
    </dataValidation>
    <dataValidation sqref="B10" showDropDown="0" showInputMessage="0" showErrorMessage="0" allowBlank="1" type="list">
      <formula1>Параметры!$A$10:$A$12</formula1>
    </dataValidation>
    <dataValidation sqref="B14" showDropDown="0" showInputMessage="0" showErrorMessage="0" allowBlank="1" type="list">
      <formula1>"Комфорт,Премиум"</formula1>
    </dataValidation>
    <dataValidation sqref="B7" showDropDown="0" showInputMessage="0" showErrorMessage="0" allowBlank="1" type="list">
      <formula1>"Продажа,Аренда"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60" customWidth="1" min="3" max="3"/>
    <col width="22" customWidth="1" min="4" max="4"/>
  </cols>
  <sheetData>
    <row r="1">
      <c r="A1" s="4" t="inlineStr">
        <is>
          <t>ПАРАМЕТРЫ КОРРЕКТИРОВОК — жёлтые ячейки можно менять (ориентиры, утверждает брокер)</t>
        </is>
      </c>
    </row>
    <row r="3">
      <c r="A3" s="6" t="inlineStr">
        <is>
          <t>Скидка на торг, % (продажа: жильё 3–5, коммерция 5–10, загородные 7–12; аренда 3–5)</t>
        </is>
      </c>
      <c r="B3" s="26" t="n">
        <v>0.05</v>
      </c>
    </row>
    <row r="4">
      <c r="A4" s="6" t="inlineStr">
        <is>
          <t>Коэффициент торможения на площадь (коммерция −0,15; квартиры −0,10; дома −0,20)</t>
        </is>
      </c>
      <c r="B4" s="27" t="n">
        <v>-0.15</v>
      </c>
    </row>
    <row r="5">
      <c r="A5" s="6" t="inlineStr">
        <is>
          <t>Разница площадей без корректировки, % (меньше — не корректируем)</t>
        </is>
      </c>
      <c r="B5" s="26" t="n">
        <v>0.1</v>
      </c>
    </row>
    <row r="6">
      <c r="A6" s="6" t="inlineStr">
        <is>
          <t>Предельная общая корректировка аналога, % (больше — аналог не учитываем)</t>
        </is>
      </c>
      <c r="B6" s="26" t="n">
        <v>0.3</v>
      </c>
    </row>
    <row r="8">
      <c r="A8" s="4" t="inlineStr">
        <is>
          <t>РЕМОНТ — стоимость отделки от нуля, БЕЗ мебели (класс объекта — в блоке «Наш объект»)</t>
        </is>
      </c>
    </row>
    <row r="9">
      <c r="A9" s="28" t="inlineStr">
        <is>
          <t>Уровень</t>
        </is>
      </c>
      <c r="B9" s="28" t="inlineStr">
        <is>
          <t>Комфорт, ₽ за м²</t>
        </is>
      </c>
      <c r="C9" s="28" t="inlineStr">
        <is>
          <t>Премиум, ₽ за м²</t>
        </is>
      </c>
      <c r="D9" s="28" t="inlineStr">
        <is>
          <t>Аренда, ₽ за м² в месяц</t>
        </is>
      </c>
    </row>
    <row r="10">
      <c r="A10" t="inlineStr">
        <is>
          <t>Без отделки</t>
        </is>
      </c>
      <c r="B10" s="12" t="n">
        <v>0</v>
      </c>
      <c r="C10" s="12" t="n">
        <v>0</v>
      </c>
      <c r="D10" s="12" t="n">
        <v>0</v>
      </c>
    </row>
    <row r="11">
      <c r="A11" t="inlineStr">
        <is>
          <t>Предчистовая (white box)</t>
        </is>
      </c>
      <c r="B11" s="12" t="n">
        <v>12000</v>
      </c>
      <c r="C11" s="12" t="n">
        <v>12000</v>
      </c>
      <c r="D11" s="12" t="n">
        <v>50</v>
      </c>
    </row>
    <row r="12">
      <c r="A12" t="inlineStr">
        <is>
          <t>С ремонтом (без мебели)</t>
        </is>
      </c>
      <c r="B12" s="12" t="n">
        <v>100000</v>
      </c>
      <c r="C12" s="12" t="n">
        <v>250000</v>
      </c>
      <c r="D12" s="12" t="n">
        <v>150</v>
      </c>
    </row>
    <row r="13">
      <c r="A13" s="2" t="inlineStr">
        <is>
          <t>Мебель и техника в корректировку ремонта не входят — если у аналога есть мебель, это ручная корректировка «Прочее».</t>
        </is>
      </c>
    </row>
    <row r="16">
      <c r="A16" s="4" t="inlineStr">
        <is>
          <t>ВЕС ПО УРОВНЮ СОПОСТАВИМОСТИ</t>
        </is>
      </c>
    </row>
    <row r="17">
      <c r="A17" t="n">
        <v>1</v>
      </c>
      <c r="B17" s="5" t="n">
        <v>1</v>
      </c>
      <c r="C17" t="inlineStr">
        <is>
          <t>1 — прямой конкурент (та же локация, тип, площадь ±30 %)</t>
        </is>
      </c>
    </row>
    <row r="18">
      <c r="A18" t="n">
        <v>2</v>
      </c>
      <c r="B18" s="5" t="n">
        <v>0.7</v>
      </c>
      <c r="C18" t="inlineStr">
        <is>
          <t>2 — расширенный поиск (соседний район / площадь ±50 % / снятые до 6 мес.)</t>
        </is>
      </c>
    </row>
    <row r="19">
      <c r="A19" t="n">
        <v>3</v>
      </c>
      <c r="B19" s="5" t="n">
        <v>0.4</v>
      </c>
      <c r="C19" t="inlineStr">
        <is>
          <t>3 — дальний аналог (другая локация того же класса / снятые до 12 мес.)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9" t="inlineStr">
        <is>
          <t>КАК ЗАПОЛНЯТЬ (подробно — инструкция «09 — Анализ конкурентов» в 03_ИНСТРУКЦИИ)</t>
        </is>
      </c>
    </row>
    <row r="2">
      <c r="A2" s="6" t="inlineStr">
        <is>
          <t>1. Сделайте копию шаблона в папку объекта «Аналитика»: «Анализ аналогов — &lt;объект&gt; — дд.мм.гггг».</t>
        </is>
      </c>
    </row>
    <row r="3">
      <c r="A3" s="6" t="inlineStr">
        <is>
          <t>2. Заполните блок «Наш объект» (сделка, площадь, ремонт, класс — обязательно). Ремонт: комфорт — 100 000 ₽/м², премиум — 250 000 ₽/м², без мебели.</t>
        </is>
      </c>
    </row>
    <row r="4">
      <c r="A4" s="6" t="inlineStr">
        <is>
          <t>3. ЦИАН: те же тип и сделка, та же локация, площадь ±30 %. Сортировка по дате. Минимум 5 прямых аналогов (уровень 1).</t>
        </is>
      </c>
    </row>
    <row r="5">
      <c r="A5" s="6" t="inlineStr">
        <is>
          <t>4. Если прямых меньше 5 — расширяйте по шагам: радиус → площадь ±50 % → снятые объявления до 6–12 мес. → другая локация того же класса. Уровень ставьте 2 или 3.</t>
        </is>
      </c>
    </row>
    <row r="6">
      <c r="A6" s="6" t="inlineStr">
        <is>
          <t>5. По каждому объявлению: ссылка, скриншот, площадь, ремонт, этаж/вход, цена, дней в экспозиции, особенности (+/−).</t>
        </is>
      </c>
    </row>
    <row r="7">
      <c r="A7" s="6" t="inlineStr">
        <is>
          <t>6. Корректировки на торг, площадь и ремонт считаются сами. Местоположение, этаж/вход и прочее ставит брокер (в % с обоснованием).</t>
        </is>
      </c>
    </row>
    <row r="8">
      <c r="A8" s="6" t="inlineStr">
        <is>
          <t>7. Аналог с общей корректировкой больше 30 % (без учёта ремонта) не учитывается автоматически. Разница в ремонте снижает вес аналога.</t>
        </is>
      </c>
    </row>
    <row r="9">
      <c r="A9" s="6" t="inlineStr">
        <is>
          <t>8. Итог (справа вверху): средневзвешенная цена за м², цена объекта, диапазон, однородность, сравнение с ценой собственника.</t>
        </is>
      </c>
    </row>
    <row r="10">
      <c r="A10" s="6" t="inlineStr">
        <is>
          <t>9. Файл → в Claude с промптом «Анализ цены по аналогам» → ответ «Вставить стратегию из Claude».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2026-09-27T18:44:36Z</dcterms:created>
  <dcterms:modified xsi:type="dcterms:W3CDTF">2026-09-27T18:44:36Z</dcterms:modified>
</cp:coreProperties>
</file>